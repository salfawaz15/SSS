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منسوبو الكلية" sheetId="1" r:id="rId1"/>
    <sheet name="الإداريين" sheetId="2" r:id="rId2"/>
    <sheet name="المبتعثون" sheetId="3" r:id="rId3"/>
  </sheets>
  <definedNames>
    <definedName name="_xlnm._FilterDatabase" localSheetId="2">'المبتعثون'!A1:F18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.alharbi@tu.edu.s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y.shahrani@tu.edu.sa" TargetMode="External"/><Relationship Id="rId2" Type="http://schemas.openxmlformats.org/officeDocument/2006/relationships/hyperlink" Target="mailto:f.bajaba@tu.edu.sa" TargetMode="External"/><Relationship Id="rId3" Type="http://schemas.openxmlformats.org/officeDocument/2006/relationships/hyperlink" Target="mailto:mahmad@tu.edu.sa" TargetMode="External"/><Relationship Id="rId4" Type="http://schemas.openxmlformats.org/officeDocument/2006/relationships/hyperlink" Target="mailto:sggthami@tu.edu.sa" TargetMode="External"/><Relationship Id="rId5" Type="http://schemas.openxmlformats.org/officeDocument/2006/relationships/hyperlink" Target="mailto:y.masfar@tu.edu.sa" TargetMode="External"/><Relationship Id="rId6" Type="http://schemas.openxmlformats.org/officeDocument/2006/relationships/hyperlink" Target="mailto:r.alboqmi@tu.edu.sa" TargetMode="External"/><Relationship Id="rId7" Type="http://schemas.openxmlformats.org/officeDocument/2006/relationships/hyperlink" Target="mailto:b.alharbi@tu.edu.sa" TargetMode="External"/><Relationship Id="rId8" Type="http://schemas.openxmlformats.org/officeDocument/2006/relationships/hyperlink" Target="mailto:s.alamri@tu.edu.sa" TargetMode="External"/><Relationship Id="rId9" Type="http://schemas.openxmlformats.org/officeDocument/2006/relationships/hyperlink" Target="mailto:a.almlki@tu.edu.sa" TargetMode="External"/><Relationship Id="rId10" Type="http://schemas.openxmlformats.org/officeDocument/2006/relationships/hyperlink" Target="mailto:su.altalhy@tu.edu.sa" TargetMode="External"/><Relationship Id="rId11" Type="http://schemas.openxmlformats.org/officeDocument/2006/relationships/hyperlink" Target="mailto:a.abrar@tu.edu.sa" TargetMode="External"/><Relationship Id="rId12" Type="http://schemas.openxmlformats.org/officeDocument/2006/relationships/hyperlink" Target="mailto:maha.b@tu.edu.sa" TargetMode="External"/><Relationship Id="rId13" Type="http://schemas.openxmlformats.org/officeDocument/2006/relationships/hyperlink" Target="mailto:hanan.b@tu.edu.sa" TargetMode="External"/><Relationship Id="rId14" Type="http://schemas.openxmlformats.org/officeDocument/2006/relationships/hyperlink" Target="mailto:shatha.a@tu.edu.sa" TargetMode="External"/><Relationship Id="rId15" Type="http://schemas.openxmlformats.org/officeDocument/2006/relationships/hyperlink" Target="mailto:tshthaqafi@tu.edu.sa" TargetMode="External"/><Relationship Id="rId16" Type="http://schemas.openxmlformats.org/officeDocument/2006/relationships/hyperlink" Target="mailto:Nkharthy@tu.edu.sa" TargetMode="External"/><Relationship Id="rId17" Type="http://schemas.openxmlformats.org/officeDocument/2006/relationships/hyperlink" Target="mailto:wothiyabi@tu.edu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65"/>
  <sheetViews>
    <sheetView workbookViewId="0" rightToLeft="1"/>
  </sheetViews>
  <sheetData>
    <row r="1">
      <c r="A1" t="str">
        <v>م</v>
      </c>
      <c r="B1" t="str">
        <v>رقم المنسوب</v>
      </c>
      <c r="C1" t="str">
        <v>الاسم الكامل</v>
      </c>
      <c r="D1" t="str">
        <v>البريد الجامعي</v>
      </c>
      <c r="E1" t="str">
        <v>رقم الجوال</v>
      </c>
      <c r="F1" t="str">
        <v>القسم / الجهة</v>
      </c>
      <c r="G1" t="str">
        <v>الشطر</v>
      </c>
      <c r="H1" t="str">
        <v>الدرجة العلمية</v>
      </c>
      <c r="I1" t="str">
        <v>نوع التكليف</v>
      </c>
      <c r="J1" t="str">
        <v>مسمى المنصب</v>
      </c>
      <c r="K1" t="str">
        <v>منصب آخر (احتياطي - إن وجد)</v>
      </c>
      <c r="L1" t="str">
        <v>نصاب الإرشاد</v>
      </c>
      <c r="M1" t="str">
        <v>النصاب التدريسي</v>
      </c>
      <c r="N1" t="str">
        <v>نصاب عضو هيئة التدريس</v>
      </c>
      <c r="O1" t="str">
        <v>رقم المكتب</v>
      </c>
      <c r="P1" t="str">
        <v>حالة الموظف</v>
      </c>
      <c r="Q1" t="str">
        <v>تاريخ التعيين</v>
      </c>
    </row>
    <row r="2">
      <c r="A2">
        <v>1</v>
      </c>
      <c r="B2" t="str">
        <v>4310500</v>
      </c>
      <c r="C2" t="str">
        <v>خالد كمال محمد الحربي</v>
      </c>
      <c r="D2" t="str">
        <v>k.alharbi@tu.edu.sa</v>
      </c>
      <c r="E2" t="str">
        <v>503880111</v>
      </c>
      <c r="F2" t="str">
        <v>قسم الادارة</v>
      </c>
      <c r="G2" t="str">
        <v>طلاب</v>
      </c>
      <c r="H2" t="str">
        <v>استاذ مشارك</v>
      </c>
      <c r="I2" t="str">
        <v>وكيل جامعة</v>
      </c>
      <c r="J2" t="str">
        <v>وكيل الجامعة للشؤون الأكاديمية والتطوير</v>
      </c>
      <c r="L2" t="str">
        <v>معفي من الارشاد</v>
      </c>
      <c r="M2" t="str">
        <v>الحد الأدنى</v>
      </c>
      <c r="N2">
        <f>IF(OR(ISNUMBER(SEARCH("معار",I2&amp;" "&amp;K2&amp;" "&amp;M2)),ISNUMBER(SEARCH("مجاز",I2&amp;" "&amp;K2&amp;" "&amp;M2)),ISNUMBER(SEARCH("مبتعث",I2&amp;" "&amp;K2&amp;" "&amp;M2))),0,IF(M2="الحد الأدنى",3,IF(M2="50%",ROUND(IF(H2="استاذ",10,IF(H2="استاذ مشارك",12,IF(H2="استاذ مساعد",14,16)))/2,0),IF(H2="استاذ",10,IF(H2="استاذ مشارك",12,IF(H2="استاذ مساعد",14,16))))))</f>
        <v>3</v>
      </c>
      <c r="O2" t="str">
        <v>35</v>
      </c>
      <c r="P2" t="str">
        <v>على رأس عمله</v>
      </c>
      <c r="Q2" t="str">
        <v>٢٢-١١-١٤٣١</v>
      </c>
    </row>
    <row r="3">
      <c r="A3">
        <v>2</v>
      </c>
      <c r="B3" t="str">
        <v>4310384</v>
      </c>
      <c r="C3" t="str">
        <v>محمد عباس الحاج عبد الله محمد</v>
      </c>
      <c r="D3" t="str">
        <v>a.alhaj@tu.edu.sa</v>
      </c>
      <c r="E3" t="str">
        <v>532444464</v>
      </c>
      <c r="F3" t="str">
        <v>قسم الادارة</v>
      </c>
      <c r="G3" t="str">
        <v>طلاب</v>
      </c>
      <c r="H3" t="str">
        <v>استاذ مساعد</v>
      </c>
      <c r="I3" t="str">
        <v>امين قسم</v>
      </c>
      <c r="J3" t="str">
        <v>أمين قسم الإدارة</v>
      </c>
      <c r="L3" t="str">
        <v>حالات خاصة</v>
      </c>
      <c r="M3" t="str">
        <v>بدون تخفيض نصاب</v>
      </c>
      <c r="N3">
        <f>IF(OR(ISNUMBER(SEARCH("معار",I3&amp;" "&amp;K3&amp;" "&amp;M3)),ISNUMBER(SEARCH("مجاز",I3&amp;" "&amp;K3&amp;" "&amp;M3)),ISNUMBER(SEARCH("مبتعث",I3&amp;" "&amp;K3&amp;" "&amp;M3))),0,IF(M3="الحد الأدنى",3,IF(M3="50%",ROUND(IF(H3="استاذ",10,IF(H3="استاذ مشارك",12,IF(H3="استاذ مساعد",14,16)))/2,0),IF(H3="استاذ",10,IF(H3="استاذ مشارك",12,IF(H3="استاذ مساعد",14,16))))))</f>
        <v>14</v>
      </c>
      <c r="O3" t="str">
        <v>8</v>
      </c>
      <c r="P3" t="str">
        <v>على رأس عمله</v>
      </c>
      <c r="Q3" t="str">
        <v>١٥-١٠-١٤٣١</v>
      </c>
    </row>
    <row r="4">
      <c r="A4">
        <v>3</v>
      </c>
      <c r="B4" t="str">
        <v>4410053</v>
      </c>
      <c r="C4" t="str">
        <v>اكرم محمد بلحاج محمد</v>
      </c>
      <c r="D4" t="str">
        <v>belhaajmohamed@tu.edu.sa</v>
      </c>
      <c r="E4" t="str">
        <v>553415387</v>
      </c>
      <c r="F4" t="str">
        <v>قسم الادارة</v>
      </c>
      <c r="G4" t="str">
        <v>طلاب</v>
      </c>
      <c r="H4" t="str">
        <v>استاذ مشارك</v>
      </c>
      <c r="I4" t="str">
        <v>منسق وحدة</v>
      </c>
      <c r="J4" t="str">
        <v>منسق قسم الإدارة لوحدة الإرشاد الأكاديمي والخريجين</v>
      </c>
      <c r="L4" t="str">
        <v>50%</v>
      </c>
      <c r="M4" t="str">
        <v>بدون تخفيض نصاب</v>
      </c>
      <c r="N4">
        <f>IF(OR(ISNUMBER(SEARCH("معار",I4&amp;" "&amp;K4&amp;" "&amp;M4)),ISNUMBER(SEARCH("مجاز",I4&amp;" "&amp;K4&amp;" "&amp;M4)),ISNUMBER(SEARCH("مبتعث",I4&amp;" "&amp;K4&amp;" "&amp;M4))),0,IF(M4="الحد الأدنى",3,IF(M4="50%",ROUND(IF(H4="استاذ",10,IF(H4="استاذ مشارك",12,IF(H4="استاذ مساعد",14,16)))/2,0),IF(H4="استاذ",10,IF(H4="استاذ مشارك",12,IF(H4="استاذ مساعد",14,16))))))</f>
        <v>12</v>
      </c>
      <c r="O4" t="str">
        <v>13</v>
      </c>
      <c r="P4" t="str">
        <v>على رأس عمله</v>
      </c>
      <c r="Q4" t="str">
        <v>١١-٠٣-١٤٤١</v>
      </c>
    </row>
    <row r="5">
      <c r="A5">
        <v>4</v>
      </c>
      <c r="B5" t="str">
        <v>4310496</v>
      </c>
      <c r="C5" t="str">
        <v>سالم علي محمد ال قظيع</v>
      </c>
      <c r="D5" t="str">
        <v>s.alim@tu.edu.sa</v>
      </c>
      <c r="E5" t="str">
        <v>554641515</v>
      </c>
      <c r="F5" t="str">
        <v>قسم الادارة</v>
      </c>
      <c r="G5" t="str">
        <v>طلاب</v>
      </c>
      <c r="H5" t="str">
        <v>استاذ مساعد</v>
      </c>
      <c r="I5" t="str">
        <v>تكليف خارجي</v>
      </c>
      <c r="J5" t="str">
        <v>مستشار مركز البحوث والاستشارات</v>
      </c>
      <c r="L5" t="str">
        <v>50%</v>
      </c>
      <c r="M5" t="str">
        <v>50%</v>
      </c>
      <c r="N5">
        <f>IF(OR(ISNUMBER(SEARCH("معار",I5&amp;" "&amp;K5&amp;" "&amp;M5)),ISNUMBER(SEARCH("مجاز",I5&amp;" "&amp;K5&amp;" "&amp;M5)),ISNUMBER(SEARCH("مبتعث",I5&amp;" "&amp;K5&amp;" "&amp;M5))),0,IF(M5="الحد الأدنى",3,IF(M5="50%",ROUND(IF(H5="استاذ",10,IF(H5="استاذ مشارك",12,IF(H5="استاذ مساعد",14,16)))/2,0),IF(H5="استاذ",10,IF(H5="استاذ مشارك",12,IF(H5="استاذ مساعد",14,16))))))</f>
        <v>7</v>
      </c>
      <c r="O5" t="str">
        <v>5</v>
      </c>
      <c r="P5" t="str">
        <v>على رأس عمله</v>
      </c>
      <c r="Q5" t="str">
        <v>٢٢-١١-١٤٣١</v>
      </c>
    </row>
    <row r="6">
      <c r="A6">
        <v>5</v>
      </c>
      <c r="B6" t="str">
        <v>4260557</v>
      </c>
      <c r="C6" t="str">
        <v>محمد فراج علي العقلا</v>
      </c>
      <c r="D6" t="str">
        <v>m.alagla@tu.edu.sa</v>
      </c>
      <c r="E6" t="str">
        <v>555500537</v>
      </c>
      <c r="F6" t="str">
        <v>قسم الادارة</v>
      </c>
      <c r="G6" t="str">
        <v>طلاب</v>
      </c>
      <c r="H6" t="str">
        <v>استاذ</v>
      </c>
      <c r="L6" t="str">
        <v>بدون تخفيض نصاب</v>
      </c>
      <c r="M6" t="str">
        <v>بدون تخفيض نصاب</v>
      </c>
      <c r="N6">
        <f>IF(OR(ISNUMBER(SEARCH("معار",I6&amp;" "&amp;K6&amp;" "&amp;M6)),ISNUMBER(SEARCH("مجاز",I6&amp;" "&amp;K6&amp;" "&amp;M6)),ISNUMBER(SEARCH("مبتعث",I6&amp;" "&amp;K6&amp;" "&amp;M6))),0,IF(M6="الحد الأدنى",3,IF(M6="50%",ROUND(IF(H6="استاذ",10,IF(H6="استاذ مشارك",12,IF(H6="استاذ مساعد",14,16)))/2,0),IF(H6="استاذ",10,IF(H6="استاذ مشارك",12,IF(H6="استاذ مساعد",14,16))))))</f>
        <v>10</v>
      </c>
      <c r="O6" t="str">
        <v>6</v>
      </c>
      <c r="P6" t="str">
        <v>على رأس عمله</v>
      </c>
      <c r="Q6" t="str">
        <v>٨-٠٧-١٤٢٧</v>
      </c>
    </row>
    <row r="7">
      <c r="A7">
        <v>6</v>
      </c>
      <c r="B7" t="str">
        <v>4260567</v>
      </c>
      <c r="C7" t="str">
        <v>عوض عمر علي ابومالح</v>
      </c>
      <c r="D7" t="str">
        <v>abomalah@tu.edu.sa</v>
      </c>
      <c r="E7" t="str">
        <v>506422335</v>
      </c>
      <c r="F7" t="str">
        <v>قسم الادارة</v>
      </c>
      <c r="G7" t="str">
        <v>طلاب</v>
      </c>
      <c r="H7" t="str">
        <v>استاذ مشارك</v>
      </c>
      <c r="L7" t="str">
        <v>بدون تخفيض نصاب</v>
      </c>
      <c r="M7" t="str">
        <v>بدون تخفيض نصاب</v>
      </c>
      <c r="N7">
        <f>IF(OR(ISNUMBER(SEARCH("معار",I7&amp;" "&amp;K7&amp;" "&amp;M7)),ISNUMBER(SEARCH("مجاز",I7&amp;" "&amp;K7&amp;" "&amp;M7)),ISNUMBER(SEARCH("مبتعث",I7&amp;" "&amp;K7&amp;" "&amp;M7))),0,IF(M7="الحد الأدنى",3,IF(M7="50%",ROUND(IF(H7="استاذ",10,IF(H7="استاذ مشارك",12,IF(H7="استاذ مساعد",14,16)))/2,0),IF(H7="استاذ",10,IF(H7="استاذ مشارك",12,IF(H7="استاذ مساعد",14,16))))))</f>
        <v>12</v>
      </c>
      <c r="O7" t="str">
        <v>6</v>
      </c>
      <c r="P7" t="str">
        <v>على رأس عمله</v>
      </c>
      <c r="Q7" t="str">
        <v>٢٥-٠٧-١٤٢٧</v>
      </c>
    </row>
    <row r="8">
      <c r="A8">
        <v>7</v>
      </c>
      <c r="B8" t="str">
        <v>4280240</v>
      </c>
      <c r="C8" t="str">
        <v>عبد الله مداري عبدالله الحربي</v>
      </c>
      <c r="D8" t="str">
        <v>medari@tu.edu.sa</v>
      </c>
      <c r="E8" t="str">
        <v>580367820</v>
      </c>
      <c r="F8" t="str">
        <v>قسم الادارة</v>
      </c>
      <c r="G8" t="str">
        <v>طلاب</v>
      </c>
      <c r="H8" t="str">
        <v>استاذ مشارك</v>
      </c>
      <c r="L8" t="str">
        <v>بدون تخفيض نصاب</v>
      </c>
      <c r="M8" t="str">
        <v>بدون تخفيض نصاب</v>
      </c>
      <c r="N8">
        <f>IF(OR(ISNUMBER(SEARCH("معار",I8&amp;" "&amp;K8&amp;" "&amp;M8)),ISNUMBER(SEARCH("مجاز",I8&amp;" "&amp;K8&amp;" "&amp;M8)),ISNUMBER(SEARCH("مبتعث",I8&amp;" "&amp;K8&amp;" "&amp;M8))),0,IF(M8="الحد الأدنى",3,IF(M8="50%",ROUND(IF(H8="استاذ",10,IF(H8="استاذ مشارك",12,IF(H8="استاذ مساعد",14,16)))/2,0),IF(H8="استاذ",10,IF(H8="استاذ مشارك",12,IF(H8="استاذ مساعد",14,16))))))</f>
        <v>12</v>
      </c>
      <c r="O8" t="str">
        <v>16</v>
      </c>
      <c r="P8" t="str">
        <v>على رأس عمله</v>
      </c>
      <c r="Q8" t="str">
        <v>١٩-١٢-١٤٢٨</v>
      </c>
    </row>
    <row r="9">
      <c r="A9">
        <v>8</v>
      </c>
      <c r="B9" t="str">
        <v>4280508</v>
      </c>
      <c r="C9" t="str">
        <v>حامد عاتق مرزوق السميري</v>
      </c>
      <c r="D9" t="str">
        <v>h.marzook@tu.edu.sa</v>
      </c>
      <c r="E9" t="str">
        <v>506490786</v>
      </c>
      <c r="F9" t="str">
        <v>قسم الادارة</v>
      </c>
      <c r="G9" t="str">
        <v>طلاب</v>
      </c>
      <c r="H9" t="str">
        <v>استاذ مشارك</v>
      </c>
      <c r="L9" t="str">
        <v>بدون تخفيض نصاب</v>
      </c>
      <c r="M9" t="str">
        <v>بدون تخفيض نصاب</v>
      </c>
      <c r="N9">
        <f>IF(OR(ISNUMBER(SEARCH("معار",I9&amp;" "&amp;K9&amp;" "&amp;M9)),ISNUMBER(SEARCH("مجاز",I9&amp;" "&amp;K9&amp;" "&amp;M9)),ISNUMBER(SEARCH("مبتعث",I9&amp;" "&amp;K9&amp;" "&amp;M9))),0,IF(M9="الحد الأدنى",3,IF(M9="50%",ROUND(IF(H9="استاذ",10,IF(H9="استاذ مشارك",12,IF(H9="استاذ مساعد",14,16)))/2,0),IF(H9="استاذ",10,IF(H9="استاذ مشارك",12,IF(H9="استاذ مساعد",14,16))))))</f>
        <v>12</v>
      </c>
      <c r="O9" t="str">
        <v>29</v>
      </c>
      <c r="P9" t="str">
        <v>على رأس عمله</v>
      </c>
      <c r="Q9" t="str">
        <v>١٩-٠٧-١٤٢٩</v>
      </c>
    </row>
    <row r="10">
      <c r="A10">
        <v>9</v>
      </c>
      <c r="B10" t="str">
        <v>4300120</v>
      </c>
      <c r="C10" t="str">
        <v>جمعان سعيد سرور الزهراني</v>
      </c>
      <c r="D10" t="str">
        <v>j.alzahrani@tu.edu.sa</v>
      </c>
      <c r="E10" t="str">
        <v>556682030</v>
      </c>
      <c r="F10" t="str">
        <v>قسم الادارة</v>
      </c>
      <c r="G10" t="str">
        <v>طلاب</v>
      </c>
      <c r="H10" t="str">
        <v>استاذ مشارك</v>
      </c>
      <c r="L10" t="str">
        <v>بدون تخفيض نصاب</v>
      </c>
      <c r="M10" t="str">
        <v>بدون تخفيض نصاب</v>
      </c>
      <c r="N10">
        <f>IF(OR(ISNUMBER(SEARCH("معار",I10&amp;" "&amp;K10&amp;" "&amp;M10)),ISNUMBER(SEARCH("مجاز",I10&amp;" "&amp;K10&amp;" "&amp;M10)),ISNUMBER(SEARCH("مبتعث",I10&amp;" "&amp;K10&amp;" "&amp;M10))),0,IF(M10="الحد الأدنى",3,IF(M10="50%",ROUND(IF(H10="استاذ",10,IF(H10="استاذ مشارك",12,IF(H10="استاذ مساعد",14,16)))/2,0),IF(H10="استاذ",10,IF(H10="استاذ مشارك",12,IF(H10="استاذ مساعد",14,16))))))</f>
        <v>12</v>
      </c>
      <c r="O10" t="str">
        <v>14</v>
      </c>
      <c r="P10" t="str">
        <v>على رأس عمله</v>
      </c>
      <c r="Q10" t="str">
        <v>١١-٠٨-١٤٣٠</v>
      </c>
    </row>
    <row r="11">
      <c r="A11">
        <v>10</v>
      </c>
      <c r="B11" t="str">
        <v>4310235</v>
      </c>
      <c r="C11" t="str">
        <v>عبدالرحمن غسان محمد الصديقي</v>
      </c>
      <c r="D11" t="str">
        <v>a.alseddiqi@tu.edu.sa</v>
      </c>
      <c r="E11" t="str">
        <v>556479426</v>
      </c>
      <c r="F11" t="str">
        <v>قسم الادارة</v>
      </c>
      <c r="G11" t="str">
        <v>طلاب</v>
      </c>
      <c r="H11" t="str">
        <v>استاذ مشارك</v>
      </c>
      <c r="L11" t="str">
        <v>بدون تخفيض نصاب</v>
      </c>
      <c r="M11" t="str">
        <v>بدون تخفيض نصاب</v>
      </c>
      <c r="N11">
        <f>IF(OR(ISNUMBER(SEARCH("معار",I11&amp;" "&amp;K11&amp;" "&amp;M11)),ISNUMBER(SEARCH("مجاز",I11&amp;" "&amp;K11&amp;" "&amp;M11)),ISNUMBER(SEARCH("مبتعث",I11&amp;" "&amp;K11&amp;" "&amp;M11))),0,IF(M11="الحد الأدنى",3,IF(M11="50%",ROUND(IF(H11="استاذ",10,IF(H11="استاذ مشارك",12,IF(H11="استاذ مساعد",14,16)))/2,0),IF(H11="استاذ",10,IF(H11="استاذ مشارك",12,IF(H11="استاذ مساعد",14,16))))))</f>
        <v>12</v>
      </c>
      <c r="O11" t="str">
        <v>4</v>
      </c>
      <c r="P11" t="str">
        <v>على رأس عمله</v>
      </c>
      <c r="Q11" t="str">
        <v>١٤-٠٧-١٤٣١</v>
      </c>
    </row>
    <row r="12">
      <c r="A12">
        <v>11</v>
      </c>
      <c r="B12" t="str">
        <v>4310592</v>
      </c>
      <c r="C12" t="str">
        <v>السيد الحضري أحمد محمود</v>
      </c>
      <c r="D12" t="str">
        <v>a.Elhadery@tu.edu.sa</v>
      </c>
      <c r="E12" t="str">
        <v>557574102</v>
      </c>
      <c r="F12" t="str">
        <v>قسم الادارة</v>
      </c>
      <c r="G12" t="str">
        <v>طلاب</v>
      </c>
      <c r="H12" t="str">
        <v>استاذ مشارك</v>
      </c>
      <c r="L12" t="str">
        <v>بدون تخفيض نصاب</v>
      </c>
      <c r="M12" t="str">
        <v>بدون تخفيض نصاب</v>
      </c>
      <c r="N12">
        <f>IF(OR(ISNUMBER(SEARCH("معار",I12&amp;" "&amp;K12&amp;" "&amp;M12)),ISNUMBER(SEARCH("مجاز",I12&amp;" "&amp;K12&amp;" "&amp;M12)),ISNUMBER(SEARCH("مبتعث",I12&amp;" "&amp;K12&amp;" "&amp;M12))),0,IF(M12="الحد الأدنى",3,IF(M12="50%",ROUND(IF(H12="استاذ",10,IF(H12="استاذ مشارك",12,IF(H12="استاذ مساعد",14,16)))/2,0),IF(H12="استاذ",10,IF(H12="استاذ مشارك",12,IF(H12="استاذ مساعد",14,16))))))</f>
        <v>12</v>
      </c>
      <c r="O12" t="str">
        <v>15</v>
      </c>
      <c r="P12" t="str">
        <v>على رأس عمله</v>
      </c>
      <c r="Q12" t="str">
        <v>٤-٠١-١٤٣٢</v>
      </c>
    </row>
    <row r="13">
      <c r="A13">
        <v>12</v>
      </c>
      <c r="B13" t="str">
        <v>4390140</v>
      </c>
      <c r="C13" t="str">
        <v>كريم سعيد ذيب عكور</v>
      </c>
      <c r="D13" t="str">
        <v>ksokour@tu.edu.sa</v>
      </c>
      <c r="E13" t="str">
        <v>555490738</v>
      </c>
      <c r="F13" t="str">
        <v>قسم الادارة</v>
      </c>
      <c r="G13" t="str">
        <v>طلاب</v>
      </c>
      <c r="H13" t="str">
        <v>استاذ مشارك</v>
      </c>
      <c r="L13" t="str">
        <v>بدون تخفيض نصاب</v>
      </c>
      <c r="M13" t="str">
        <v>بدون تخفيض نصاب</v>
      </c>
      <c r="N13">
        <f>IF(OR(ISNUMBER(SEARCH("معار",I13&amp;" "&amp;K13&amp;" "&amp;M13)),ISNUMBER(SEARCH("مجاز",I13&amp;" "&amp;K13&amp;" "&amp;M13)),ISNUMBER(SEARCH("مبتعث",I13&amp;" "&amp;K13&amp;" "&amp;M13))),0,IF(M13="الحد الأدنى",3,IF(M13="50%",ROUND(IF(H13="استاذ",10,IF(H13="استاذ مشارك",12,IF(H13="استاذ مساعد",14,16)))/2,0),IF(H13="استاذ",10,IF(H13="استاذ مشارك",12,IF(H13="استاذ مساعد",14,16))))))</f>
        <v>12</v>
      </c>
      <c r="O13" t="str">
        <v>4</v>
      </c>
      <c r="P13" t="str">
        <v>على رأس عمله</v>
      </c>
      <c r="Q13" t="str">
        <v>١٢-٠٦-١٤٣٩</v>
      </c>
    </row>
    <row r="14">
      <c r="A14">
        <v>13</v>
      </c>
      <c r="B14" t="str">
        <v>4400257</v>
      </c>
      <c r="C14" t="str">
        <v>كباشي محمد حامد نور الدين</v>
      </c>
      <c r="D14" t="str">
        <v>k.noureldin@tu.edu.sa</v>
      </c>
      <c r="E14" t="str">
        <v>562014527</v>
      </c>
      <c r="F14" t="str">
        <v>قسم الادارة</v>
      </c>
      <c r="G14" t="str">
        <v>طلاب</v>
      </c>
      <c r="H14" t="str">
        <v>استاذ مساعد</v>
      </c>
      <c r="L14" t="str">
        <v>بدون تخفيض نصاب</v>
      </c>
      <c r="M14" t="str">
        <v>بدون تخفيض نصاب</v>
      </c>
      <c r="N14">
        <f>IF(OR(ISNUMBER(SEARCH("معار",I14&amp;" "&amp;K14&amp;" "&amp;M14)),ISNUMBER(SEARCH("مجاز",I14&amp;" "&amp;K14&amp;" "&amp;M14)),ISNUMBER(SEARCH("مبتعث",I14&amp;" "&amp;K14&amp;" "&amp;M14))),0,IF(M14="الحد الأدنى",3,IF(M14="50%",ROUND(IF(H14="استاذ",10,IF(H14="استاذ مشارك",12,IF(H14="استاذ مساعد",14,16)))/2,0),IF(H14="استاذ",10,IF(H14="استاذ مشارك",12,IF(H14="استاذ مساعد",14,16))))))</f>
        <v>14</v>
      </c>
      <c r="O14" t="str">
        <v>13</v>
      </c>
      <c r="P14" t="str">
        <v>على رأس عمله</v>
      </c>
      <c r="Q14" t="str">
        <v>٢٩-١٢-١٤٤٠</v>
      </c>
    </row>
    <row r="15">
      <c r="A15">
        <v>14</v>
      </c>
      <c r="B15" t="str">
        <v>4410060</v>
      </c>
      <c r="C15" t="str">
        <v>عبد الجليل محمد حسن ادريس</v>
      </c>
      <c r="D15" t="str">
        <v>am.idris@tu.edu.sa</v>
      </c>
      <c r="E15" t="str">
        <v>557192825</v>
      </c>
      <c r="F15" t="str">
        <v>قسم الادارة</v>
      </c>
      <c r="G15" t="str">
        <v>طلاب</v>
      </c>
      <c r="H15" t="str">
        <v>استاذ مساعد</v>
      </c>
      <c r="L15" t="str">
        <v>بدون تخفيض نصاب</v>
      </c>
      <c r="M15" t="str">
        <v>بدون تخفيض نصاب</v>
      </c>
      <c r="N15">
        <f>IF(OR(ISNUMBER(SEARCH("معار",I15&amp;" "&amp;K15&amp;" "&amp;M15)),ISNUMBER(SEARCH("مجاز",I15&amp;" "&amp;K15&amp;" "&amp;M15)),ISNUMBER(SEARCH("مبتعث",I15&amp;" "&amp;K15&amp;" "&amp;M15))),0,IF(M15="الحد الأدنى",3,IF(M15="50%",ROUND(IF(H15="استاذ",10,IF(H15="استاذ مشارك",12,IF(H15="استاذ مساعد",14,16)))/2,0),IF(H15="استاذ",10,IF(H15="استاذ مشارك",12,IF(H15="استاذ مساعد",14,16))))))</f>
        <v>14</v>
      </c>
      <c r="O15" t="str">
        <v>مبنى 5000 - مكتب 2</v>
      </c>
      <c r="P15" t="str">
        <v>على رأس عمله</v>
      </c>
      <c r="Q15" t="str">
        <v>٢-٠٢-١٤٤١</v>
      </c>
    </row>
    <row r="16">
      <c r="A16">
        <v>15</v>
      </c>
      <c r="B16" t="str">
        <v>4390118</v>
      </c>
      <c r="C16" t="str">
        <v>مازن عبدالرحمن محمد المنجومي</v>
      </c>
      <c r="D16" t="str">
        <v>mamanjumi@tu.edu.sa</v>
      </c>
      <c r="E16" t="str">
        <v>549227347</v>
      </c>
      <c r="F16" t="str">
        <v>قسم الادارة</v>
      </c>
      <c r="G16" t="str">
        <v>طلاب</v>
      </c>
      <c r="H16" t="str">
        <v>معيد</v>
      </c>
      <c r="L16" t="str">
        <v>بدون تخفيض نصاب</v>
      </c>
      <c r="M16" t="str">
        <v>بدون تخفيض نصاب</v>
      </c>
      <c r="N16">
        <f>IF(OR(ISNUMBER(SEARCH("معار",I16&amp;" "&amp;K16&amp;" "&amp;M16)),ISNUMBER(SEARCH("مجاز",I16&amp;" "&amp;K16&amp;" "&amp;M16)),ISNUMBER(SEARCH("مبتعث",I16&amp;" "&amp;K16&amp;" "&amp;M16))),0,IF(M16="الحد الأدنى",3,IF(M16="50%",ROUND(IF(H16="استاذ",10,IF(H16="استاذ مشارك",12,IF(H16="استاذ مساعد",14,16)))/2,0),IF(H16="استاذ",10,IF(H16="استاذ مشارك",12,IF(H16="استاذ مساعد",14,16))))))</f>
        <v>16</v>
      </c>
      <c r="P16" t="str">
        <v>على رأس عمله</v>
      </c>
      <c r="Q16" t="str">
        <v>٢٦-٠٥-١٤٣٩</v>
      </c>
    </row>
    <row r="17">
      <c r="A17">
        <v>16</v>
      </c>
      <c r="B17" t="str">
        <v>4270151</v>
      </c>
      <c r="C17" t="str">
        <v>عبدالرحمن عطا الله خبيتان الحربي</v>
      </c>
      <c r="D17" t="str">
        <v>a.ataa@tu.edu.sa</v>
      </c>
      <c r="E17" t="str">
        <v>544344533</v>
      </c>
      <c r="F17" t="str">
        <v>قسم المحاسبة</v>
      </c>
      <c r="G17" t="str">
        <v>طلاب</v>
      </c>
      <c r="H17" t="str">
        <v>استاذ مشارك</v>
      </c>
      <c r="I17" t="str">
        <v>رئيس قسم</v>
      </c>
      <c r="J17" t="str">
        <v>رئيس قسم المحاسبة</v>
      </c>
      <c r="L17" t="str">
        <v>معفي من الارشاد</v>
      </c>
      <c r="M17" t="str">
        <v>الحد الأدنى</v>
      </c>
      <c r="N17">
        <f>IF(OR(ISNUMBER(SEARCH("معار",I17&amp;" "&amp;K17&amp;" "&amp;M17)),ISNUMBER(SEARCH("مجاز",I17&amp;" "&amp;K17&amp;" "&amp;M17)),ISNUMBER(SEARCH("مبتعث",I17&amp;" "&amp;K17&amp;" "&amp;M17))),0,IF(M17="الحد الأدنى",3,IF(M17="50%",ROUND(IF(H17="استاذ",10,IF(H17="استاذ مشارك",12,IF(H17="استاذ مساعد",14,16)))/2,0),IF(H17="استاذ",10,IF(H17="استاذ مشارك",12,IF(H17="استاذ مساعد",14,16))))))</f>
        <v>3</v>
      </c>
      <c r="O17" t="str">
        <v>107</v>
      </c>
      <c r="P17" t="str">
        <v>على رأس عمله</v>
      </c>
      <c r="Q17" t="str">
        <v>٢٣-٠٧-١٤٢٨</v>
      </c>
    </row>
    <row r="18">
      <c r="A18">
        <v>17</v>
      </c>
      <c r="B18" t="str">
        <v>4390050</v>
      </c>
      <c r="C18" t="str">
        <v>الفاتح بشير ادريس البشير</v>
      </c>
      <c r="D18" t="str">
        <v>fbbashir@tu.edu.sa</v>
      </c>
      <c r="E18" t="str">
        <v>558542005</v>
      </c>
      <c r="F18" t="str">
        <v>قسم المحاسبة</v>
      </c>
      <c r="G18" t="str">
        <v>طلاب</v>
      </c>
      <c r="H18" t="str">
        <v>استاذ مساعد</v>
      </c>
      <c r="I18" t="str">
        <v>امين قسم</v>
      </c>
      <c r="J18" t="str">
        <v>أمين قسم المحاسبة</v>
      </c>
      <c r="L18" t="str">
        <v>حالات خاصة</v>
      </c>
      <c r="M18" t="str">
        <v>بدون تخفيض نصاب</v>
      </c>
      <c r="N18">
        <f>IF(OR(ISNUMBER(SEARCH("معار",I18&amp;" "&amp;K18&amp;" "&amp;M18)),ISNUMBER(SEARCH("مجاز",I18&amp;" "&amp;K18&amp;" "&amp;M18)),ISNUMBER(SEARCH("مبتعث",I18&amp;" "&amp;K18&amp;" "&amp;M18))),0,IF(M18="الحد الأدنى",3,IF(M18="50%",ROUND(IF(H18="استاذ",10,IF(H18="استاذ مشارك",12,IF(H18="استاذ مساعد",14,16)))/2,0),IF(H18="استاذ",10,IF(H18="استاذ مشارك",12,IF(H18="استاذ مساعد",14,16))))))</f>
        <v>14</v>
      </c>
      <c r="O18" t="str">
        <v>106</v>
      </c>
      <c r="P18" t="str">
        <v>على رأس عمله</v>
      </c>
      <c r="Q18" t="str">
        <v>١٣-٠٢-١٤٣٩</v>
      </c>
    </row>
    <row r="19">
      <c r="A19">
        <v>18</v>
      </c>
      <c r="B19" t="str">
        <v>4400212</v>
      </c>
      <c r="C19" t="str">
        <v>محمد ابكر احمد محمد</v>
      </c>
      <c r="D19" t="str">
        <v>Abaker@tu.edu.sa</v>
      </c>
      <c r="E19" t="str">
        <v>542589581</v>
      </c>
      <c r="F19" t="str">
        <v>قسم المحاسبة</v>
      </c>
      <c r="G19" t="str">
        <v>طلاب</v>
      </c>
      <c r="H19" t="str">
        <v>استاذ مشارك</v>
      </c>
      <c r="I19" t="str">
        <v>منسق وحدة</v>
      </c>
      <c r="J19" t="str">
        <v>منسق قسم المحاسبة لوحدة الإرشاد الأكاديمي والخريجين</v>
      </c>
      <c r="L19" t="str">
        <v>50%</v>
      </c>
      <c r="M19" t="str">
        <v>بدون تخفيض نصاب</v>
      </c>
      <c r="N19">
        <f>IF(OR(ISNUMBER(SEARCH("معار",I19&amp;" "&amp;K19&amp;" "&amp;M19)),ISNUMBER(SEARCH("مجاز",I19&amp;" "&amp;K19&amp;" "&amp;M19)),ISNUMBER(SEARCH("مبتعث",I19&amp;" "&amp;K19&amp;" "&amp;M19))),0,IF(M19="الحد الأدنى",3,IF(M19="50%",ROUND(IF(H19="استاذ",10,IF(H19="استاذ مشارك",12,IF(H19="استاذ مساعد",14,16)))/2,0),IF(H19="استاذ",10,IF(H19="استاذ مشارك",12,IF(H19="استاذ مساعد",14,16))))))</f>
        <v>12</v>
      </c>
      <c r="O19" t="str">
        <v>113</v>
      </c>
      <c r="P19" t="str">
        <v>على رأس عمله</v>
      </c>
      <c r="Q19" t="str">
        <v>١٧-١٢-١٤٤٠</v>
      </c>
    </row>
    <row r="20">
      <c r="A20">
        <v>19</v>
      </c>
      <c r="B20" t="str">
        <v>4400016</v>
      </c>
      <c r="C20" t="str">
        <v>صالح حامد محمد علي ادم</v>
      </c>
      <c r="D20" t="str">
        <v>shadam@tu.edu.sa</v>
      </c>
      <c r="E20" t="str">
        <v>533112118</v>
      </c>
      <c r="F20" t="str">
        <v>قسم المحاسبة</v>
      </c>
      <c r="G20" t="str">
        <v>طلاب</v>
      </c>
      <c r="H20" t="str">
        <v>استاذ</v>
      </c>
      <c r="L20" t="str">
        <v>بدون تخفيض نصاب</v>
      </c>
      <c r="M20" t="str">
        <v>بدون تخفيض نصاب</v>
      </c>
      <c r="N20">
        <f>IF(OR(ISNUMBER(SEARCH("معار",I20&amp;" "&amp;K20&amp;" "&amp;M20)),ISNUMBER(SEARCH("مجاز",I20&amp;" "&amp;K20&amp;" "&amp;M20)),ISNUMBER(SEARCH("مبتعث",I20&amp;" "&amp;K20&amp;" "&amp;M20))),0,IF(M20="الحد الأدنى",3,IF(M20="50%",ROUND(IF(H20="استاذ",10,IF(H20="استاذ مشارك",12,IF(H20="استاذ مساعد",14,16)))/2,0),IF(H20="استاذ",10,IF(H20="استاذ مشارك",12,IF(H20="استاذ مساعد",14,16))))))</f>
        <v>10</v>
      </c>
      <c r="O20" t="str">
        <v>103</v>
      </c>
      <c r="P20" t="str">
        <v>على رأس عمله</v>
      </c>
      <c r="Q20" t="str">
        <v>٤-٠١-١٤٤٠</v>
      </c>
    </row>
    <row r="21">
      <c r="A21">
        <v>20</v>
      </c>
      <c r="B21" t="str">
        <v>4400228</v>
      </c>
      <c r="C21" t="str">
        <v>مزمل عوض طه احمد</v>
      </c>
      <c r="D21" t="str">
        <v>malhadad@tu.edu.sa</v>
      </c>
      <c r="E21" t="str">
        <v>550753933</v>
      </c>
      <c r="F21" t="str">
        <v>قسم المحاسبة</v>
      </c>
      <c r="G21" t="str">
        <v>طلاب</v>
      </c>
      <c r="H21" t="str">
        <v>استاذ مشارك</v>
      </c>
      <c r="L21" t="str">
        <v>بدون تخفيض نصاب</v>
      </c>
      <c r="M21" t="str">
        <v>بدون تخفيض نصاب</v>
      </c>
      <c r="N21">
        <f>IF(OR(ISNUMBER(SEARCH("معار",I21&amp;" "&amp;K21&amp;" "&amp;M21)),ISNUMBER(SEARCH("مجاز",I21&amp;" "&amp;K21&amp;" "&amp;M21)),ISNUMBER(SEARCH("مبتعث",I21&amp;" "&amp;K21&amp;" "&amp;M21))),0,IF(M21="الحد الأدنى",3,IF(M21="50%",ROUND(IF(H21="استاذ",10,IF(H21="استاذ مشارك",12,IF(H21="استاذ مساعد",14,16)))/2,0),IF(H21="استاذ",10,IF(H21="استاذ مشارك",12,IF(H21="استاذ مساعد",14,16))))))</f>
        <v>12</v>
      </c>
      <c r="O21" t="str">
        <v>114</v>
      </c>
      <c r="P21" t="str">
        <v>على رأس عمله</v>
      </c>
      <c r="Q21" t="str">
        <v>١٩-١٢-١٤٤٠</v>
      </c>
    </row>
    <row r="22">
      <c r="A22">
        <v>21</v>
      </c>
      <c r="B22" t="str">
        <v>4400239</v>
      </c>
      <c r="C22" t="str">
        <v>عبد الرحمن عبد الله عبد الرحمن عبد الله</v>
      </c>
      <c r="D22" t="str">
        <v>Abdulrhman@tu.edu.sa</v>
      </c>
      <c r="E22" t="str">
        <v>570118397</v>
      </c>
      <c r="F22" t="str">
        <v>قسم المحاسبة</v>
      </c>
      <c r="G22" t="str">
        <v>طلاب</v>
      </c>
      <c r="H22" t="str">
        <v>استاذ مشارك</v>
      </c>
      <c r="L22" t="str">
        <v>بدون تخفيض نصاب</v>
      </c>
      <c r="M22" t="str">
        <v>بدون تخفيض نصاب</v>
      </c>
      <c r="N22">
        <f>IF(OR(ISNUMBER(SEARCH("معار",I22&amp;" "&amp;K22&amp;" "&amp;M22)),ISNUMBER(SEARCH("مجاز",I22&amp;" "&amp;K22&amp;" "&amp;M22)),ISNUMBER(SEARCH("مبتعث",I22&amp;" "&amp;K22&amp;" "&amp;M22))),0,IF(M22="الحد الأدنى",3,IF(M22="50%",ROUND(IF(H22="استاذ",10,IF(H22="استاذ مشارك",12,IF(H22="استاذ مساعد",14,16)))/2,0),IF(H22="استاذ",10,IF(H22="استاذ مشارك",12,IF(H22="استاذ مساعد",14,16))))))</f>
        <v>12</v>
      </c>
      <c r="O22" t="str">
        <v>112</v>
      </c>
      <c r="P22" t="str">
        <v>على رأس عمله</v>
      </c>
      <c r="Q22" t="str">
        <v>٢٦-١٢-١٤٤٠</v>
      </c>
    </row>
    <row r="23">
      <c r="A23">
        <v>22</v>
      </c>
      <c r="B23" t="str">
        <v>4310497</v>
      </c>
      <c r="C23" t="str">
        <v>محمد عادل محمد رزيق</v>
      </c>
      <c r="D23" t="str">
        <v>m.rozyq@tu.edu.sa</v>
      </c>
      <c r="E23" t="str">
        <v>569171591</v>
      </c>
      <c r="F23" t="str">
        <v>قسم المحاسبة</v>
      </c>
      <c r="G23" t="str">
        <v>طلاب</v>
      </c>
      <c r="H23" t="str">
        <v>استاذ مساعد</v>
      </c>
      <c r="L23" t="str">
        <v>بدون تخفيض نصاب</v>
      </c>
      <c r="M23" t="str">
        <v>بدون تخفيض نصاب</v>
      </c>
      <c r="N23">
        <f>IF(OR(ISNUMBER(SEARCH("معار",I23&amp;" "&amp;K23&amp;" "&amp;M23)),ISNUMBER(SEARCH("مجاز",I23&amp;" "&amp;K23&amp;" "&amp;M23)),ISNUMBER(SEARCH("مبتعث",I23&amp;" "&amp;K23&amp;" "&amp;M23))),0,IF(M23="الحد الأدنى",3,IF(M23="50%",ROUND(IF(H23="استاذ",10,IF(H23="استاذ مشارك",12,IF(H23="استاذ مساعد",14,16)))/2,0),IF(H23="استاذ",10,IF(H23="استاذ مشارك",12,IF(H23="استاذ مساعد",14,16))))))</f>
        <v>14</v>
      </c>
      <c r="O23" t="str">
        <v>111</v>
      </c>
      <c r="P23" t="str">
        <v>على رأس عمله</v>
      </c>
      <c r="Q23" t="str">
        <v>٢٣-١١-١٤٣١</v>
      </c>
    </row>
    <row r="24">
      <c r="A24">
        <v>23</v>
      </c>
      <c r="B24" t="str">
        <v>4350087</v>
      </c>
      <c r="C24" t="str">
        <v>محمود ابراهيم محمد عبدالموجود</v>
      </c>
      <c r="D24" t="str">
        <v>M.ibrahem@tu.edu.sa</v>
      </c>
      <c r="E24" t="str">
        <v>592718081</v>
      </c>
      <c r="F24" t="str">
        <v>قسم المحاسبة</v>
      </c>
      <c r="G24" t="str">
        <v>طلاب</v>
      </c>
      <c r="H24" t="str">
        <v>استاذ مساعد</v>
      </c>
      <c r="L24" t="str">
        <v>بدون تخفيض نصاب</v>
      </c>
      <c r="M24" t="str">
        <v>بدون تخفيض نصاب</v>
      </c>
      <c r="N24">
        <f>IF(OR(ISNUMBER(SEARCH("معار",I24&amp;" "&amp;K24&amp;" "&amp;M24)),ISNUMBER(SEARCH("مجاز",I24&amp;" "&amp;K24&amp;" "&amp;M24)),ISNUMBER(SEARCH("مبتعث",I24&amp;" "&amp;K24&amp;" "&amp;M24))),0,IF(M24="الحد الأدنى",3,IF(M24="50%",ROUND(IF(H24="استاذ",10,IF(H24="استاذ مشارك",12,IF(H24="استاذ مساعد",14,16)))/2,0),IF(H24="استاذ",10,IF(H24="استاذ مشارك",12,IF(H24="استاذ مساعد",14,16))))))</f>
        <v>14</v>
      </c>
      <c r="O24" t="str">
        <v>104</v>
      </c>
      <c r="P24" t="str">
        <v>على رأس عمله</v>
      </c>
      <c r="Q24" t="str">
        <v>١٩-١١-١٤٣٥</v>
      </c>
    </row>
    <row r="25">
      <c r="A25">
        <v>24</v>
      </c>
      <c r="B25" t="str">
        <v>4390195</v>
      </c>
      <c r="C25" t="str">
        <v>فهد محمد عبدالله الشربي العتيبي</v>
      </c>
      <c r="D25" t="str">
        <v>Fmotaibi@tu.edu.sa</v>
      </c>
      <c r="E25" t="str">
        <v>542220981</v>
      </c>
      <c r="F25" t="str">
        <v>قسم المحاسبة</v>
      </c>
      <c r="G25" t="str">
        <v>طلاب</v>
      </c>
      <c r="H25" t="str">
        <v>استاذ مساعد</v>
      </c>
      <c r="L25" t="str">
        <v>بدون تخفيض نصاب</v>
      </c>
      <c r="M25" t="str">
        <v>بدون تخفيض نصاب</v>
      </c>
      <c r="N25">
        <f>IF(OR(ISNUMBER(SEARCH("معار",I25&amp;" "&amp;K25&amp;" "&amp;M25)),ISNUMBER(SEARCH("مجاز",I25&amp;" "&amp;K25&amp;" "&amp;M25)),ISNUMBER(SEARCH("مبتعث",I25&amp;" "&amp;K25&amp;" "&amp;M25))),0,IF(M25="الحد الأدنى",3,IF(M25="50%",ROUND(IF(H25="استاذ",10,IF(H25="استاذ مشارك",12,IF(H25="استاذ مساعد",14,16)))/2,0),IF(H25="استاذ",10,IF(H25="استاذ مشارك",12,IF(H25="استاذ مساعد",14,16))))))</f>
        <v>14</v>
      </c>
      <c r="O25" t="str">
        <v>102</v>
      </c>
      <c r="P25" t="str">
        <v>على رأس عمله</v>
      </c>
      <c r="Q25" t="str">
        <v>٦-١١-١٤٣٩</v>
      </c>
    </row>
    <row r="26">
      <c r="A26">
        <v>25</v>
      </c>
      <c r="B26" t="str">
        <v>4390226</v>
      </c>
      <c r="C26" t="str">
        <v>حامد غازي حامد سليماني</v>
      </c>
      <c r="D26" t="str">
        <v>hgsulimany@tu.edu.sa</v>
      </c>
      <c r="E26" t="str">
        <v>551666039</v>
      </c>
      <c r="F26" t="str">
        <v>قسم المحاسبة</v>
      </c>
      <c r="G26" t="str">
        <v>طلاب</v>
      </c>
      <c r="H26" t="str">
        <v>استاذ مساعد</v>
      </c>
      <c r="L26" t="str">
        <v>بدون تخفيض نصاب</v>
      </c>
      <c r="M26" t="str">
        <v>بدون تخفيض نصاب</v>
      </c>
      <c r="N26">
        <f>IF(OR(ISNUMBER(SEARCH("معار",I26&amp;" "&amp;K26&amp;" "&amp;M26)),ISNUMBER(SEARCH("مجاز",I26&amp;" "&amp;K26&amp;" "&amp;M26)),ISNUMBER(SEARCH("مبتعث",I26&amp;" "&amp;K26&amp;" "&amp;M26))),0,IF(M26="الحد الأدنى",3,IF(M26="50%",ROUND(IF(H26="استاذ",10,IF(H26="استاذ مشارك",12,IF(H26="استاذ مساعد",14,16)))/2,0),IF(H26="استاذ",10,IF(H26="استاذ مشارك",12,IF(H26="استاذ مساعد",14,16))))))</f>
        <v>14</v>
      </c>
      <c r="O26" t="str">
        <v>105</v>
      </c>
      <c r="P26" t="str">
        <v>على رأس عمله</v>
      </c>
      <c r="Q26" t="str">
        <v>١٣-١١-١٤٣٩</v>
      </c>
    </row>
    <row r="27">
      <c r="A27">
        <v>26</v>
      </c>
      <c r="B27" t="str">
        <v>4400155</v>
      </c>
      <c r="C27" t="str">
        <v>اسامة احمد جمال هلالي</v>
      </c>
      <c r="D27" t="str">
        <v>Oahelaly@tu.edu.sa</v>
      </c>
      <c r="E27" t="str">
        <v>581785182</v>
      </c>
      <c r="F27" t="str">
        <v>قسم المحاسبة</v>
      </c>
      <c r="G27" t="str">
        <v>طلاب</v>
      </c>
      <c r="H27" t="str">
        <v>استاذ مساعد</v>
      </c>
      <c r="L27" t="str">
        <v>بدون تخفيض نصاب</v>
      </c>
      <c r="M27" t="str">
        <v>بدون تخفيض نصاب</v>
      </c>
      <c r="N27">
        <f>IF(OR(ISNUMBER(SEARCH("معار",I27&amp;" "&amp;K27&amp;" "&amp;M27)),ISNUMBER(SEARCH("مجاز",I27&amp;" "&amp;K27&amp;" "&amp;M27)),ISNUMBER(SEARCH("مبتعث",I27&amp;" "&amp;K27&amp;" "&amp;M27))),0,IF(M27="الحد الأدنى",3,IF(M27="50%",ROUND(IF(H27="استاذ",10,IF(H27="استاذ مشارك",12,IF(H27="استاذ مساعد",14,16)))/2,0),IF(H27="استاذ",10,IF(H27="استاذ مشارك",12,IF(H27="استاذ مساعد",14,16))))))</f>
        <v>14</v>
      </c>
      <c r="O27" t="str">
        <v>114</v>
      </c>
      <c r="P27" t="str">
        <v>على رأس عمله</v>
      </c>
      <c r="Q27" t="str">
        <v>١٥-٠٩-١٤٤٠</v>
      </c>
    </row>
    <row r="28">
      <c r="A28">
        <v>27</v>
      </c>
      <c r="B28" t="str">
        <v>4270121</v>
      </c>
      <c r="C28" t="str">
        <v>ياسين مصطفي محمود شمس</v>
      </c>
      <c r="D28" t="str">
        <v>y.shams@tu.edu.sa</v>
      </c>
      <c r="E28" t="str">
        <v>555230720</v>
      </c>
      <c r="F28" t="str">
        <v>قسم المحاسبة</v>
      </c>
      <c r="G28" t="str">
        <v>طلاب</v>
      </c>
      <c r="H28" t="str">
        <v>محاضر</v>
      </c>
      <c r="L28" t="str">
        <v>بدون تخفيض نصاب</v>
      </c>
      <c r="M28" t="str">
        <v>بدون تخفيض نصاب</v>
      </c>
      <c r="N28">
        <f>IF(OR(ISNUMBER(SEARCH("معار",I28&amp;" "&amp;K28&amp;" "&amp;M28)),ISNUMBER(SEARCH("مجاز",I28&amp;" "&amp;K28&amp;" "&amp;M28)),ISNUMBER(SEARCH("مبتعث",I28&amp;" "&amp;K28&amp;" "&amp;M28))),0,IF(M28="الحد الأدنى",3,IF(M28="50%",ROUND(IF(H28="استاذ",10,IF(H28="استاذ مشارك",12,IF(H28="استاذ مساعد",14,16)))/2,0),IF(H28="استاذ",10,IF(H28="استاذ مشارك",12,IF(H28="استاذ مساعد",14,16))))))</f>
        <v>16</v>
      </c>
      <c r="O28" t="str">
        <v>مبنى 5000 - مكتب 5113</v>
      </c>
      <c r="P28" t="str">
        <v>على رأس عمله</v>
      </c>
      <c r="Q28" t="str">
        <v>٢-٠٨-١٤٢٨</v>
      </c>
    </row>
    <row r="29">
      <c r="A29">
        <v>28</v>
      </c>
      <c r="B29" t="str">
        <v>4300144</v>
      </c>
      <c r="C29" t="str">
        <v>عدنان يعقوب علي عاشق</v>
      </c>
      <c r="D29" t="str">
        <v>Asheq.adnan@gmail.com</v>
      </c>
      <c r="E29" t="str">
        <v>555686671</v>
      </c>
      <c r="F29" t="str">
        <v>قسم المحاسبة</v>
      </c>
      <c r="G29" t="str">
        <v>طلاب</v>
      </c>
      <c r="H29" t="str">
        <v>محاضر</v>
      </c>
      <c r="L29" t="str">
        <v>بدون تخفيض نصاب</v>
      </c>
      <c r="M29" t="str">
        <v>بدون تخفيض نصاب</v>
      </c>
      <c r="N29">
        <f>IF(OR(ISNUMBER(SEARCH("معار",I29&amp;" "&amp;K29&amp;" "&amp;M29)),ISNUMBER(SEARCH("مجاز",I29&amp;" "&amp;K29&amp;" "&amp;M29)),ISNUMBER(SEARCH("مبتعث",I29&amp;" "&amp;K29&amp;" "&amp;M29))),0,IF(M29="الحد الأدنى",3,IF(M29="50%",ROUND(IF(H29="استاذ",10,IF(H29="استاذ مشارك",12,IF(H29="استاذ مساعد",14,16)))/2,0),IF(H29="استاذ",10,IF(H29="استاذ مشارك",12,IF(H29="استاذ مساعد",14,16))))))</f>
        <v>16</v>
      </c>
      <c r="O29" t="str">
        <v>مبنى 5000 - مكتب 114</v>
      </c>
      <c r="P29" t="str">
        <v>على رأس عمله</v>
      </c>
      <c r="Q29" t="str">
        <v>١٠-٠٨-١٤٣٠</v>
      </c>
    </row>
    <row r="30">
      <c r="A30">
        <v>29</v>
      </c>
      <c r="B30" t="str">
        <v>4350151</v>
      </c>
      <c r="C30" t="str">
        <v>اكرم محمدعثمان ميراحمد طاشكندي</v>
      </c>
      <c r="D30" t="str">
        <v>a.akram@tu.edu.sa</v>
      </c>
      <c r="E30" t="str">
        <v>581007833</v>
      </c>
      <c r="F30" t="str">
        <v>قسم المحاسبة</v>
      </c>
      <c r="G30" t="str">
        <v>طلاب</v>
      </c>
      <c r="H30" t="str">
        <v>معيد</v>
      </c>
      <c r="L30" t="str">
        <v>بدون تخفيض نصاب</v>
      </c>
      <c r="M30" t="str">
        <v>بدون تخفيض نصاب</v>
      </c>
      <c r="N30">
        <f>IF(OR(ISNUMBER(SEARCH("معار",I30&amp;" "&amp;K30&amp;" "&amp;M30)),ISNUMBER(SEARCH("مجاز",I30&amp;" "&amp;K30&amp;" "&amp;M30)),ISNUMBER(SEARCH("مبتعث",I30&amp;" "&amp;K30&amp;" "&amp;M30))),0,IF(M30="الحد الأدنى",3,IF(M30="50%",ROUND(IF(H30="استاذ",10,IF(H30="استاذ مشارك",12,IF(H30="استاذ مساعد",14,16)))/2,0),IF(H30="استاذ",10,IF(H30="استاذ مشارك",12,IF(H30="استاذ مساعد",14,16))))))</f>
        <v>16</v>
      </c>
      <c r="O30" t="str">
        <v>مبنى 5000 - مكتب 5113</v>
      </c>
      <c r="P30" t="str">
        <v>على رأس عمله</v>
      </c>
      <c r="Q30" t="str">
        <v>١-١٢-١٤٣٥</v>
      </c>
    </row>
    <row r="31">
      <c r="A31">
        <v>30</v>
      </c>
      <c r="B31" t="str">
        <v>4280541</v>
      </c>
      <c r="C31" t="str">
        <v>وائل احمد رضوان عبدالجليل تمبوسي</v>
      </c>
      <c r="D31" t="str">
        <v>w.redwan@tu.edu.sa</v>
      </c>
      <c r="E31" t="str">
        <v>562000373</v>
      </c>
      <c r="F31" t="str">
        <v>قسم التسويق</v>
      </c>
      <c r="G31" t="str">
        <v>طلاب</v>
      </c>
      <c r="H31" t="str">
        <v>استاذ مساعد</v>
      </c>
      <c r="I31" t="str">
        <v>وكيل كلية</v>
      </c>
      <c r="J31" t="str">
        <v>وكيل كلية إدارة الأعمال للتدريب</v>
      </c>
      <c r="K31" t="str">
        <v>المشرف على إدارة ريادة الأعمال</v>
      </c>
      <c r="L31" t="str">
        <v>معفي من الارشاد</v>
      </c>
      <c r="M31" t="str">
        <v>الحد الأدنى</v>
      </c>
      <c r="N31">
        <f>IF(OR(ISNUMBER(SEARCH("معار",I31&amp;" "&amp;K31&amp;" "&amp;M31)),ISNUMBER(SEARCH("مجاز",I31&amp;" "&amp;K31&amp;" "&amp;M31)),ISNUMBER(SEARCH("مبتعث",I31&amp;" "&amp;K31&amp;" "&amp;M31))),0,IF(M31="الحد الأدنى",3,IF(M31="50%",ROUND(IF(H31="استاذ",10,IF(H31="استاذ مشارك",12,IF(H31="استاذ مساعد",14,16)))/2,0),IF(H31="استاذ",10,IF(H31="استاذ مشارك",12,IF(H31="استاذ مساعد",14,16))))))</f>
        <v>3</v>
      </c>
      <c r="O31" t="str">
        <v>116</v>
      </c>
      <c r="P31" t="str">
        <v>على رأس عمله</v>
      </c>
      <c r="Q31" t="str">
        <v>٢٣-٠٧-١٤٢٩</v>
      </c>
    </row>
    <row r="32">
      <c r="A32">
        <v>31</v>
      </c>
      <c r="B32" t="str">
        <v>4310067</v>
      </c>
      <c r="C32" t="str">
        <v>عبد الله صالح رجاء العوفي</v>
      </c>
      <c r="D32" t="str">
        <v>draaloufi@tu.edu.sa</v>
      </c>
      <c r="E32" t="str">
        <v>560032404</v>
      </c>
      <c r="F32" t="str">
        <v>قسم التسويق</v>
      </c>
      <c r="G32" t="str">
        <v>طلاب</v>
      </c>
      <c r="H32" t="str">
        <v>استاذ مشارك</v>
      </c>
      <c r="I32" t="str">
        <v>رئيس قسم</v>
      </c>
      <c r="J32" t="str">
        <v>رئيس قسم الادارة</v>
      </c>
      <c r="K32" t="str">
        <v>مشرف إدارة الأصول والاستثمار</v>
      </c>
      <c r="L32" t="str">
        <v>معفي من الارشاد</v>
      </c>
      <c r="M32" t="str">
        <v>الحد الأدنى</v>
      </c>
      <c r="N32">
        <f>IF(OR(ISNUMBER(SEARCH("معار",I32&amp;" "&amp;K32&amp;" "&amp;M32)),ISNUMBER(SEARCH("مجاز",I32&amp;" "&amp;K32&amp;" "&amp;M32)),ISNUMBER(SEARCH("مبتعث",I32&amp;" "&amp;K32&amp;" "&amp;M32))),0,IF(M32="الحد الأدنى",3,IF(M32="50%",ROUND(IF(H32="استاذ",10,IF(H32="استاذ مشارك",12,IF(H32="استاذ مساعد",14,16)))/2,0),IF(H32="استاذ",10,IF(H32="استاذ مشارك",12,IF(H32="استاذ مساعد",14,16))))))</f>
        <v>3</v>
      </c>
      <c r="O32" t="str">
        <v>126</v>
      </c>
      <c r="P32" t="str">
        <v>على رأس عمله</v>
      </c>
      <c r="Q32" t="str">
        <v>٢٣-٠٢-١٤٣١</v>
      </c>
    </row>
    <row r="33">
      <c r="A33">
        <v>32</v>
      </c>
      <c r="B33" t="str">
        <v>4310506</v>
      </c>
      <c r="C33" t="str">
        <v>نايف عوض الله عبد الله الزرقي</v>
      </c>
      <c r="D33" t="str">
        <v>Na.Zurqi@tu.edu.sa</v>
      </c>
      <c r="E33" t="str">
        <v>501713733</v>
      </c>
      <c r="F33" t="str">
        <v>قسم التسويق</v>
      </c>
      <c r="G33" t="str">
        <v>طلاب</v>
      </c>
      <c r="H33" t="str">
        <v>استاذ مساعد</v>
      </c>
      <c r="I33" t="str">
        <v>رئيس قسم</v>
      </c>
      <c r="J33" t="str">
        <v>رئيس قسم التسويق</v>
      </c>
      <c r="L33" t="str">
        <v>معفي من الارشاد</v>
      </c>
      <c r="M33" t="str">
        <v>الحد الأدنى</v>
      </c>
      <c r="N33">
        <f>IF(OR(ISNUMBER(SEARCH("معار",I33&amp;" "&amp;K33&amp;" "&amp;M33)),ISNUMBER(SEARCH("مجاز",I33&amp;" "&amp;K33&amp;" "&amp;M33)),ISNUMBER(SEARCH("مبتعث",I33&amp;" "&amp;K33&amp;" "&amp;M33))),0,IF(M33="الحد الأدنى",3,IF(M33="50%",ROUND(IF(H33="استاذ",10,IF(H33="استاذ مشارك",12,IF(H33="استاذ مساعد",14,16)))/2,0),IF(H33="استاذ",10,IF(H33="استاذ مشارك",12,IF(H33="استاذ مساعد",14,16))))))</f>
        <v>3</v>
      </c>
      <c r="O33" t="str">
        <v>121</v>
      </c>
      <c r="P33" t="str">
        <v>على رأس عمله</v>
      </c>
      <c r="Q33" t="str">
        <v>٢٢-١١-١٤٣١</v>
      </c>
    </row>
    <row r="34">
      <c r="A34">
        <v>33</v>
      </c>
      <c r="B34" t="str">
        <v>4410027</v>
      </c>
      <c r="C34" t="str">
        <v>حسن عبد الرحيم حسن الزبير</v>
      </c>
      <c r="D34" t="str">
        <v>azubeir@tu.edu.sa</v>
      </c>
      <c r="E34" t="str">
        <v>552756387</v>
      </c>
      <c r="F34" t="str">
        <v>قسم التسويق</v>
      </c>
      <c r="G34" t="str">
        <v>طلاب</v>
      </c>
      <c r="H34" t="str">
        <v>استاذ مساعد</v>
      </c>
      <c r="I34" t="str">
        <v>امين قسم</v>
      </c>
      <c r="J34" t="str">
        <v>أمين قسم التسويق</v>
      </c>
      <c r="K34" t="str">
        <v>منسق وحدة</v>
      </c>
      <c r="L34" t="str">
        <v>حالات خاصة</v>
      </c>
      <c r="M34" t="str">
        <v>بدون تخفيض نصاب</v>
      </c>
      <c r="N34">
        <f>IF(OR(ISNUMBER(SEARCH("معار",I34&amp;" "&amp;K34&amp;" "&amp;M34)),ISNUMBER(SEARCH("مجاز",I34&amp;" "&amp;K34&amp;" "&amp;M34)),ISNUMBER(SEARCH("مبتعث",I34&amp;" "&amp;K34&amp;" "&amp;M34))),0,IF(M34="الحد الأدنى",3,IF(M34="50%",ROUND(IF(H34="استاذ",10,IF(H34="استاذ مشارك",12,IF(H34="استاذ مساعد",14,16)))/2,0),IF(H34="استاذ",10,IF(H34="استاذ مشارك",12,IF(H34="استاذ مساعد",14,16))))))</f>
        <v>14</v>
      </c>
      <c r="O34" t="str">
        <v>120</v>
      </c>
      <c r="P34" t="str">
        <v>على رأس عمله</v>
      </c>
      <c r="Q34" t="str">
        <v>٢٠-٠١-١٤٤١</v>
      </c>
    </row>
    <row r="35">
      <c r="A35">
        <v>34</v>
      </c>
      <c r="B35" t="str">
        <v>4400175</v>
      </c>
      <c r="C35" t="str">
        <v>بندر خلف قليل المسيلي الحارثي</v>
      </c>
      <c r="D35" t="str">
        <v>bkharthey@tu.edu.sa</v>
      </c>
      <c r="E35" t="str">
        <v>559099279</v>
      </c>
      <c r="F35" t="str">
        <v>قسم التسويق</v>
      </c>
      <c r="G35" t="str">
        <v>طلاب</v>
      </c>
      <c r="H35" t="str">
        <v>استاذ</v>
      </c>
      <c r="L35" t="str">
        <v>بدون تخفيض نصاب</v>
      </c>
      <c r="M35" t="str">
        <v>بدون تخفيض نصاب</v>
      </c>
      <c r="N35">
        <f>IF(OR(ISNUMBER(SEARCH("معار",I35&amp;" "&amp;K35&amp;" "&amp;M35)),ISNUMBER(SEARCH("مجاز",I35&amp;" "&amp;K35&amp;" "&amp;M35)),ISNUMBER(SEARCH("مبتعث",I35&amp;" "&amp;K35&amp;" "&amp;M35))),0,IF(M35="الحد الأدنى",3,IF(M35="50%",ROUND(IF(H35="استاذ",10,IF(H35="استاذ مشارك",12,IF(H35="استاذ مساعد",14,16)))/2,0),IF(H35="استاذ",10,IF(H35="استاذ مشارك",12,IF(H35="استاذ مساعد",14,16))))))</f>
        <v>10</v>
      </c>
      <c r="O35" t="str">
        <v>127</v>
      </c>
      <c r="P35" t="str">
        <v>على رأس عمله</v>
      </c>
      <c r="Q35" t="str">
        <v>٢٢-١١-١٤٤٠</v>
      </c>
    </row>
    <row r="36">
      <c r="A36">
        <v>35</v>
      </c>
      <c r="B36" t="str">
        <v>4280648</v>
      </c>
      <c r="C36" t="str">
        <v>ماجد سعد رتيمان المرواني</v>
      </c>
      <c r="D36" t="str">
        <v>m.marwani@tu.edu.sa</v>
      </c>
      <c r="E36" t="str">
        <v>503671213</v>
      </c>
      <c r="F36" t="str">
        <v>قسم التسويق</v>
      </c>
      <c r="G36" t="str">
        <v>طلاب</v>
      </c>
      <c r="H36" t="str">
        <v>استاذ مشارك</v>
      </c>
      <c r="L36" t="str">
        <v>بدون تخفيض نصاب</v>
      </c>
      <c r="M36" t="str">
        <v>بدون تخفيض نصاب</v>
      </c>
      <c r="N36">
        <f>IF(OR(ISNUMBER(SEARCH("معار",I36&amp;" "&amp;K36&amp;" "&amp;M36)),ISNUMBER(SEARCH("مجاز",I36&amp;" "&amp;K36&amp;" "&amp;M36)),ISNUMBER(SEARCH("مبتعث",I36&amp;" "&amp;K36&amp;" "&amp;M36))),0,IF(M36="الحد الأدنى",3,IF(M36="50%",ROUND(IF(H36="استاذ",10,IF(H36="استاذ مشارك",12,IF(H36="استاذ مساعد",14,16)))/2,0),IF(H36="استاذ",10,IF(H36="استاذ مشارك",12,IF(H36="استاذ مساعد",14,16))))))</f>
        <v>12</v>
      </c>
      <c r="O36" t="str">
        <v>125</v>
      </c>
      <c r="P36" t="str">
        <v>على رأس عمله</v>
      </c>
      <c r="Q36" t="str">
        <v>٢٩-٠٨-١٤٢٩</v>
      </c>
    </row>
    <row r="37">
      <c r="A37">
        <v>36</v>
      </c>
      <c r="B37" t="str">
        <v>4310184</v>
      </c>
      <c r="C37" t="str">
        <v>عبدالرحمن صالح محمد العلياني</v>
      </c>
      <c r="D37" t="str">
        <v>a.alfaisaly@tu.edu.sa</v>
      </c>
      <c r="E37" t="str">
        <v>557034042</v>
      </c>
      <c r="F37" t="str">
        <v>قسم التسويق</v>
      </c>
      <c r="G37" t="str">
        <v>طلاب</v>
      </c>
      <c r="H37" t="str">
        <v>استاذ مساعد</v>
      </c>
      <c r="L37" t="str">
        <v>بدون تخفيض نصاب</v>
      </c>
      <c r="M37" t="str">
        <v>بدون تخفيض نصاب</v>
      </c>
      <c r="N37">
        <f>IF(OR(ISNUMBER(SEARCH("معار",I37&amp;" "&amp;K37&amp;" "&amp;M37)),ISNUMBER(SEARCH("مجاز",I37&amp;" "&amp;K37&amp;" "&amp;M37)),ISNUMBER(SEARCH("مبتعث",I37&amp;" "&amp;K37&amp;" "&amp;M37))),0,IF(M37="الحد الأدنى",3,IF(M37="50%",ROUND(IF(H37="استاذ",10,IF(H37="استاذ مشارك",12,IF(H37="استاذ مساعد",14,16)))/2,0),IF(H37="استاذ",10,IF(H37="استاذ مشارك",12,IF(H37="استاذ مساعد",14,16))))))</f>
        <v>14</v>
      </c>
      <c r="O37" t="str">
        <v>117</v>
      </c>
      <c r="P37" t="str">
        <v>على رأس عمله</v>
      </c>
      <c r="Q37" t="str">
        <v>٢٨-٠٥-١٤٣١</v>
      </c>
    </row>
    <row r="38">
      <c r="A38">
        <v>37</v>
      </c>
      <c r="B38" t="str">
        <v>4390030</v>
      </c>
      <c r="C38" t="str">
        <v>خالد الطيب علي احمد</v>
      </c>
      <c r="D38" t="str">
        <v>Keahmed@tu.edu.sa</v>
      </c>
      <c r="E38" t="str">
        <v>557038025</v>
      </c>
      <c r="F38" t="str">
        <v>قسم التسويق</v>
      </c>
      <c r="G38" t="str">
        <v>طلاب</v>
      </c>
      <c r="H38" t="str">
        <v>استاذ مساعد</v>
      </c>
      <c r="L38" t="str">
        <v>بدون تخفيض نصاب</v>
      </c>
      <c r="M38" t="str">
        <v>بدون تخفيض نصاب</v>
      </c>
      <c r="N38">
        <f>IF(OR(ISNUMBER(SEARCH("معار",I38&amp;" "&amp;K38&amp;" "&amp;M38)),ISNUMBER(SEARCH("مجاز",I38&amp;" "&amp;K38&amp;" "&amp;M38)),ISNUMBER(SEARCH("مبتعث",I38&amp;" "&amp;K38&amp;" "&amp;M38))),0,IF(M38="الحد الأدنى",3,IF(M38="50%",ROUND(IF(H38="استاذ",10,IF(H38="استاذ مشارك",12,IF(H38="استاذ مساعد",14,16)))/2,0),IF(H38="استاذ",10,IF(H38="استاذ مشارك",12,IF(H38="استاذ مساعد",14,16))))))</f>
        <v>14</v>
      </c>
      <c r="O38" t="str">
        <v>128</v>
      </c>
      <c r="P38" t="str">
        <v>على رأس عمله</v>
      </c>
      <c r="Q38" t="str">
        <v>٢٧-٠١-١٤٣٩</v>
      </c>
    </row>
    <row r="39">
      <c r="A39">
        <v>38</v>
      </c>
      <c r="B39" t="str">
        <v>4280556</v>
      </c>
      <c r="C39" t="str">
        <v>براء حسن احمد الحازمي</v>
      </c>
      <c r="D39" t="str">
        <v>b.hassan@tu.edu.sa</v>
      </c>
      <c r="E39" t="str">
        <v>565056999</v>
      </c>
      <c r="F39" t="str">
        <v>قسم التسويق</v>
      </c>
      <c r="G39" t="str">
        <v>طلاب</v>
      </c>
      <c r="H39" t="str">
        <v>محاضر</v>
      </c>
      <c r="L39" t="str">
        <v>بدون تخفيض نصاب</v>
      </c>
      <c r="M39" t="str">
        <v>بدون تخفيض نصاب</v>
      </c>
      <c r="N39">
        <f>IF(OR(ISNUMBER(SEARCH("معار",I39&amp;" "&amp;K39&amp;" "&amp;M39)),ISNUMBER(SEARCH("مجاز",I39&amp;" "&amp;K39&amp;" "&amp;M39)),ISNUMBER(SEARCH("مبتعث",I39&amp;" "&amp;K39&amp;" "&amp;M39))),0,IF(M39="الحد الأدنى",3,IF(M39="50%",ROUND(IF(H39="استاذ",10,IF(H39="استاذ مشارك",12,IF(H39="استاذ مساعد",14,16)))/2,0),IF(H39="استاذ",10,IF(H39="استاذ مشارك",12,IF(H39="استاذ مساعد",14,16))))))</f>
        <v>16</v>
      </c>
      <c r="O39" t="str">
        <v>128</v>
      </c>
      <c r="P39" t="str">
        <v>على رأس عمله</v>
      </c>
      <c r="Q39" t="str">
        <v>٢٣-٠٧-١٤٢٩</v>
      </c>
    </row>
    <row r="40">
      <c r="A40">
        <v>39</v>
      </c>
      <c r="B40" t="str">
        <v>4390197</v>
      </c>
      <c r="C40" t="str">
        <v>خالد عبدالله محمد العتيبي</v>
      </c>
      <c r="D40" t="str">
        <v>Kaotaibi@tu.edu.sa</v>
      </c>
      <c r="E40" t="str">
        <v>590155512</v>
      </c>
      <c r="F40" t="str">
        <v>قسم التسويق</v>
      </c>
      <c r="G40" t="str">
        <v>طلاب</v>
      </c>
      <c r="H40" t="str">
        <v>محاضر</v>
      </c>
      <c r="L40" t="str">
        <v>بدون تخفيض نصاب</v>
      </c>
      <c r="M40" t="str">
        <v>بدون تخفيض نصاب</v>
      </c>
      <c r="N40">
        <f>IF(OR(ISNUMBER(SEARCH("معار",I40&amp;" "&amp;K40&amp;" "&amp;M40)),ISNUMBER(SEARCH("مجاز",I40&amp;" "&amp;K40&amp;" "&amp;M40)),ISNUMBER(SEARCH("مبتعث",I40&amp;" "&amp;K40&amp;" "&amp;M40))),0,IF(M40="الحد الأدنى",3,IF(M40="50%",ROUND(IF(H40="استاذ",10,IF(H40="استاذ مشارك",12,IF(H40="استاذ مساعد",14,16)))/2,0),IF(H40="استاذ",10,IF(H40="استاذ مشارك",12,IF(H40="استاذ مساعد",14,16))))))</f>
        <v>16</v>
      </c>
      <c r="O40" t="str">
        <v>119</v>
      </c>
      <c r="P40" t="str">
        <v>على رأس عمله</v>
      </c>
      <c r="Q40" t="str">
        <v>٩-١١-١٤٣٩</v>
      </c>
    </row>
    <row r="41">
      <c r="A41">
        <v>40</v>
      </c>
      <c r="B41" t="str">
        <v>4300402</v>
      </c>
      <c r="C41" t="str">
        <v>عبد الرحمن احمد حميد الكشي الجهني</v>
      </c>
      <c r="D41" t="str">
        <v>Ab.aljohani@tu.edu.sa</v>
      </c>
      <c r="E41" t="str">
        <v>555591726</v>
      </c>
      <c r="F41" t="str">
        <v>قسم التسويق</v>
      </c>
      <c r="G41" t="str">
        <v>طلاب</v>
      </c>
      <c r="H41" t="str">
        <v>معيد</v>
      </c>
      <c r="L41" t="str">
        <v>بدون تخفيض نصاب</v>
      </c>
      <c r="M41" t="str">
        <v>بدون تخفيض نصاب</v>
      </c>
      <c r="N41">
        <f>IF(OR(ISNUMBER(SEARCH("معار",I41&amp;" "&amp;K41&amp;" "&amp;M41)),ISNUMBER(SEARCH("مجاز",I41&amp;" "&amp;K41&amp;" "&amp;M41)),ISNUMBER(SEARCH("مبتعث",I41&amp;" "&amp;K41&amp;" "&amp;M41))),0,IF(M41="الحد الأدنى",3,IF(M41="50%",ROUND(IF(H41="استاذ",10,IF(H41="استاذ مشارك",12,IF(H41="استاذ مساعد",14,16)))/2,0),IF(H41="استاذ",10,IF(H41="استاذ مشارك",12,IF(H41="استاذ مساعد",14,16))))))</f>
        <v>16</v>
      </c>
      <c r="O41" t="str">
        <v>مبنى 5000</v>
      </c>
      <c r="P41" t="str">
        <v>على رأس عمله</v>
      </c>
      <c r="Q41" t="str">
        <v>١١-١٠-١٤٣٠</v>
      </c>
    </row>
    <row r="42">
      <c r="A42">
        <v>41</v>
      </c>
      <c r="B42" t="str">
        <v>4320186</v>
      </c>
      <c r="C42" t="str">
        <v>فؤاد عمر يحيى جعماني</v>
      </c>
      <c r="D42" t="str">
        <v>fjamaani@tu.edu.sa</v>
      </c>
      <c r="E42" t="str">
        <v>553690099</v>
      </c>
      <c r="F42" t="str">
        <v>قسم الاقتصاد و التمويل</v>
      </c>
      <c r="G42" t="str">
        <v>طلاب</v>
      </c>
      <c r="H42" t="str">
        <v>استاذ مشارك</v>
      </c>
      <c r="I42" t="str">
        <v>تكليف خارجي</v>
      </c>
      <c r="J42" t="str">
        <v>رئيس مركز البحوث والإستشارات</v>
      </c>
      <c r="K42" t="str">
        <v>مستشار وكيل الجامعة للشؤون المالية والاستثمار</v>
      </c>
      <c r="L42" t="str">
        <v>معفي من الارشاد</v>
      </c>
      <c r="M42" t="str">
        <v>الحد الأدنى</v>
      </c>
      <c r="N42">
        <f>IF(OR(ISNUMBER(SEARCH("معار",I42&amp;" "&amp;K42&amp;" "&amp;M42)),ISNUMBER(SEARCH("مجاز",I42&amp;" "&amp;K42&amp;" "&amp;M42)),ISNUMBER(SEARCH("مبتعث",I42&amp;" "&amp;K42&amp;" "&amp;M42))),0,IF(M42="الحد الأدنى",3,IF(M42="50%",ROUND(IF(H42="استاذ",10,IF(H42="استاذ مشارك",12,IF(H42="استاذ مساعد",14,16)))/2,0),IF(H42="استاذ",10,IF(H42="استاذ مشارك",12,IF(H42="استاذ مساعد",14,16))))))</f>
        <v>3</v>
      </c>
      <c r="O42" t="str">
        <v>74</v>
      </c>
      <c r="P42" t="str">
        <v>على رأس عمله</v>
      </c>
      <c r="Q42" t="str">
        <v>٢٥-٠٨-١٤٣٢</v>
      </c>
    </row>
    <row r="43">
      <c r="A43">
        <v>42</v>
      </c>
      <c r="B43" t="str">
        <v>4330577</v>
      </c>
      <c r="C43" t="str">
        <v>عادل علي محمد حسن</v>
      </c>
      <c r="D43" t="str">
        <v>ad.hassan@tu.edu.sa</v>
      </c>
      <c r="E43" t="str">
        <v>581244604</v>
      </c>
      <c r="F43" t="str">
        <v>قسم الاقتصاد و التمويل</v>
      </c>
      <c r="G43" t="str">
        <v>طلاب</v>
      </c>
      <c r="H43" t="str">
        <v>استاذ مساعد</v>
      </c>
      <c r="I43" t="str">
        <v>منسق كلية</v>
      </c>
      <c r="J43" t="str">
        <v>منسق كلية إدارة الأعمال للشؤون الأكاديمية-شطر الطلاب</v>
      </c>
      <c r="L43" t="str">
        <v>معفي من الارشاد</v>
      </c>
      <c r="M43" t="str">
        <v>بدون تخفيض نصاب</v>
      </c>
      <c r="N43">
        <f>IF(OR(ISNUMBER(SEARCH("معار",I43&amp;" "&amp;K43&amp;" "&amp;M43)),ISNUMBER(SEARCH("مجاز",I43&amp;" "&amp;K43&amp;" "&amp;M43)),ISNUMBER(SEARCH("مبتعث",I43&amp;" "&amp;K43&amp;" "&amp;M43))),0,IF(M43="الحد الأدنى",3,IF(M43="50%",ROUND(IF(H43="استاذ",10,IF(H43="استاذ مشارك",12,IF(H43="استاذ مساعد",14,16)))/2,0),IF(H43="استاذ",10,IF(H43="استاذ مشارك",12,IF(H43="استاذ مساعد",14,16))))))</f>
        <v>14</v>
      </c>
      <c r="O43" t="str">
        <v>65</v>
      </c>
      <c r="P43" t="str">
        <v>على رأس عمله</v>
      </c>
      <c r="Q43" t="str">
        <v>١٥-١٠-١٤٣٣</v>
      </c>
    </row>
    <row r="44">
      <c r="A44">
        <v>43</v>
      </c>
      <c r="B44" t="str">
        <v>4390156</v>
      </c>
      <c r="C44" t="str">
        <v>وائل محمود علي محمد</v>
      </c>
      <c r="D44" t="str">
        <v>wmohamed@tu.edu.sa</v>
      </c>
      <c r="E44" t="str">
        <v>563221687</v>
      </c>
      <c r="F44" t="str">
        <v>قسم الاقتصاد و التمويل</v>
      </c>
      <c r="G44" t="str">
        <v>طلاب</v>
      </c>
      <c r="H44" t="str">
        <v>استاذ مساعد</v>
      </c>
      <c r="I44" t="str">
        <v>امين قسم</v>
      </c>
      <c r="J44" t="str">
        <v>أمين قسم الاقتصاد والتمويل</v>
      </c>
      <c r="L44" t="str">
        <v>حالات خاصة</v>
      </c>
      <c r="M44" t="str">
        <v>بدون تخفيض نصاب</v>
      </c>
      <c r="N44">
        <f>IF(OR(ISNUMBER(SEARCH("معار",I44&amp;" "&amp;K44&amp;" "&amp;M44)),ISNUMBER(SEARCH("مجاز",I44&amp;" "&amp;K44&amp;" "&amp;M44)),ISNUMBER(SEARCH("مبتعث",I44&amp;" "&amp;K44&amp;" "&amp;M44))),0,IF(M44="الحد الأدنى",3,IF(M44="50%",ROUND(IF(H44="استاذ",10,IF(H44="استاذ مشارك",12,IF(H44="استاذ مساعد",14,16)))/2,0),IF(H44="استاذ",10,IF(H44="استاذ مشارك",12,IF(H44="استاذ مساعد",14,16))))))</f>
        <v>14</v>
      </c>
      <c r="O44" t="str">
        <v>70</v>
      </c>
      <c r="P44" t="str">
        <v>على رأس عمله</v>
      </c>
      <c r="Q44" t="str">
        <v>١١-٠٨-١٤٣٩</v>
      </c>
    </row>
    <row r="45">
      <c r="A45">
        <v>44</v>
      </c>
      <c r="B45" t="str">
        <v>4400208</v>
      </c>
      <c r="C45" t="str">
        <v>الصادق محمد سالم الطيب</v>
      </c>
      <c r="D45" t="str">
        <v>tayeb@tu.edu.sa</v>
      </c>
      <c r="E45" t="str">
        <v>568587728</v>
      </c>
      <c r="F45" t="str">
        <v>قسم الاقتصاد و التمويل</v>
      </c>
      <c r="G45" t="str">
        <v>طلاب</v>
      </c>
      <c r="H45" t="str">
        <v>استاذ مشارك</v>
      </c>
      <c r="I45" t="str">
        <v>منسق وحدة</v>
      </c>
      <c r="J45" t="str">
        <v>منسق قسم الاقتصاد والتمويل لوحدة الإرشاد الأكاديمي والخريجين</v>
      </c>
      <c r="L45" t="str">
        <v>50%</v>
      </c>
      <c r="M45" t="str">
        <v>بدون تخفيض نصاب</v>
      </c>
      <c r="N45">
        <f>IF(OR(ISNUMBER(SEARCH("معار",I45&amp;" "&amp;K45&amp;" "&amp;M45)),ISNUMBER(SEARCH("مجاز",I45&amp;" "&amp;K45&amp;" "&amp;M45)),ISNUMBER(SEARCH("مبتعث",I45&amp;" "&amp;K45&amp;" "&amp;M45))),0,IF(M45="الحد الأدنى",3,IF(M45="50%",ROUND(IF(H45="استاذ",10,IF(H45="استاذ مشارك",12,IF(H45="استاذ مساعد",14,16)))/2,0),IF(H45="استاذ",10,IF(H45="استاذ مشارك",12,IF(H45="استاذ مساعد",14,16))))))</f>
        <v>12</v>
      </c>
      <c r="O45" t="str">
        <v>80</v>
      </c>
      <c r="P45" t="str">
        <v>على رأس عمله</v>
      </c>
      <c r="Q45" t="str">
        <v>١٧-١٢-١٤٤٠</v>
      </c>
    </row>
    <row r="46">
      <c r="A46">
        <v>45</v>
      </c>
      <c r="B46" t="str">
        <v>4310170</v>
      </c>
      <c r="C46" t="str">
        <v>خليل عواد غميض الرويتعي</v>
      </c>
      <c r="D46" t="str">
        <v>k.gamith@tu.edu.sa</v>
      </c>
      <c r="E46" t="str">
        <v>597020048</v>
      </c>
      <c r="F46" t="str">
        <v>قسم الاقتصاد و التمويل</v>
      </c>
      <c r="G46" t="str">
        <v>طلاب</v>
      </c>
      <c r="H46" t="str">
        <v>استاذ مشارك</v>
      </c>
      <c r="I46" t="str">
        <v>تكليف خارجي</v>
      </c>
      <c r="J46" t="str">
        <v>مساعد للرئيس التنفيذي للخدمات لمساندة بالكلية التطبيقية</v>
      </c>
      <c r="L46" t="str">
        <v>معفي من الارشاد</v>
      </c>
      <c r="M46" t="str">
        <v>50%</v>
      </c>
      <c r="N46">
        <f>IF(OR(ISNUMBER(SEARCH("معار",I46&amp;" "&amp;K46&amp;" "&amp;M46)),ISNUMBER(SEARCH("مجاز",I46&amp;" "&amp;K46&amp;" "&amp;M46)),ISNUMBER(SEARCH("مبتعث",I46&amp;" "&amp;K46&amp;" "&amp;M46))),0,IF(M46="الحد الأدنى",3,IF(M46="50%",ROUND(IF(H46="استاذ",10,IF(H46="استاذ مشارك",12,IF(H46="استاذ مساعد",14,16)))/2,0),IF(H46="استاذ",10,IF(H46="استاذ مشارك",12,IF(H46="استاذ مساعد",14,16))))))</f>
        <v>6</v>
      </c>
      <c r="O46" t="str">
        <v>78</v>
      </c>
      <c r="P46" t="str">
        <v>على رأس عمله</v>
      </c>
      <c r="Q46" t="str">
        <v>٢٨-٠٤-١٤٣١</v>
      </c>
    </row>
    <row r="47">
      <c r="A47">
        <v>46</v>
      </c>
      <c r="B47" t="str">
        <v>4300262</v>
      </c>
      <c r="C47" t="str">
        <v>حامد عبدالقوي محمد الخواجه</v>
      </c>
      <c r="D47" t="str">
        <v>h.khawaga@tu.edu.sa</v>
      </c>
      <c r="E47" t="str">
        <v>505172689</v>
      </c>
      <c r="F47" t="str">
        <v>قسم الاقتصاد و التمويل</v>
      </c>
      <c r="G47" t="str">
        <v>طلاب</v>
      </c>
      <c r="H47" t="str">
        <v>استاذ مشارك</v>
      </c>
      <c r="L47" t="str">
        <v>بدون تخفيض نصاب</v>
      </c>
      <c r="M47" t="str">
        <v>بدون تخفيض نصاب</v>
      </c>
      <c r="N47">
        <f>IF(OR(ISNUMBER(SEARCH("معار",I47&amp;" "&amp;K47&amp;" "&amp;M47)),ISNUMBER(SEARCH("مجاز",I47&amp;" "&amp;K47&amp;" "&amp;M47)),ISNUMBER(SEARCH("مبتعث",I47&amp;" "&amp;K47&amp;" "&amp;M47))),0,IF(M47="الحد الأدنى",3,IF(M47="50%",ROUND(IF(H47="استاذ",10,IF(H47="استاذ مشارك",12,IF(H47="استاذ مساعد",14,16)))/2,0),IF(H47="استاذ",10,IF(H47="استاذ مشارك",12,IF(H47="استاذ مساعد",14,16))))))</f>
        <v>12</v>
      </c>
      <c r="O47" t="str">
        <v>88</v>
      </c>
      <c r="P47" t="str">
        <v>على رأس عمله</v>
      </c>
      <c r="Q47" t="str">
        <v>٧-١٠-١٤٣٠</v>
      </c>
    </row>
    <row r="48">
      <c r="A48">
        <v>47</v>
      </c>
      <c r="B48" t="str">
        <v>4310354</v>
      </c>
      <c r="C48" t="str">
        <v>محمود عبد العال محمد مشعال</v>
      </c>
      <c r="D48" t="str">
        <v>m.meshal@tu.edu.sa</v>
      </c>
      <c r="E48" t="str">
        <v>597903754</v>
      </c>
      <c r="F48" t="str">
        <v>قسم الاقتصاد و التمويل</v>
      </c>
      <c r="G48" t="str">
        <v>طلاب</v>
      </c>
      <c r="H48" t="str">
        <v>استاذ مشارك</v>
      </c>
      <c r="L48" t="str">
        <v>بدون تخفيض نصاب</v>
      </c>
      <c r="M48" t="str">
        <v>بدون تخفيض نصاب</v>
      </c>
      <c r="N48">
        <f>IF(OR(ISNUMBER(SEARCH("معار",I48&amp;" "&amp;K48&amp;" "&amp;M48)),ISNUMBER(SEARCH("مجاز",I48&amp;" "&amp;K48&amp;" "&amp;M48)),ISNUMBER(SEARCH("مبتعث",I48&amp;" "&amp;K48&amp;" "&amp;M48))),0,IF(M48="الحد الأدنى",3,IF(M48="50%",ROUND(IF(H48="استاذ",10,IF(H48="استاذ مشارك",12,IF(H48="استاذ مساعد",14,16)))/2,0),IF(H48="استاذ",10,IF(H48="استاذ مشارك",12,IF(H48="استاذ مساعد",14,16))))))</f>
        <v>12</v>
      </c>
      <c r="O48" t="str">
        <v>86</v>
      </c>
      <c r="P48" t="str">
        <v>على رأس عمله</v>
      </c>
      <c r="Q48" t="str">
        <v>١٢-١٠-١٤٣١</v>
      </c>
    </row>
    <row r="49">
      <c r="A49">
        <v>48</v>
      </c>
      <c r="B49" t="str">
        <v>4380087</v>
      </c>
      <c r="C49" t="str">
        <v>ساير ساعد ساير الجعيد</v>
      </c>
      <c r="D49" t="str">
        <v>saljaed@tu.edu.sa</v>
      </c>
      <c r="E49" t="str">
        <v>554727276</v>
      </c>
      <c r="F49" t="str">
        <v>قسم الاقتصاد و التمويل</v>
      </c>
      <c r="G49" t="str">
        <v>طلاب</v>
      </c>
      <c r="H49" t="str">
        <v>استاذ مشارك</v>
      </c>
      <c r="L49" t="str">
        <v>بدون تخفيض نصاب</v>
      </c>
      <c r="M49" t="str">
        <v>بدون تخفيض نصاب</v>
      </c>
      <c r="N49">
        <f>IF(OR(ISNUMBER(SEARCH("معار",I49&amp;" "&amp;K49&amp;" "&amp;M49)),ISNUMBER(SEARCH("مجاز",I49&amp;" "&amp;K49&amp;" "&amp;M49)),ISNUMBER(SEARCH("مبتعث",I49&amp;" "&amp;K49&amp;" "&amp;M49))),0,IF(M49="الحد الأدنى",3,IF(M49="50%",ROUND(IF(H49="استاذ",10,IF(H49="استاذ مشارك",12,IF(H49="استاذ مساعد",14,16)))/2,0),IF(H49="استاذ",10,IF(H49="استاذ مشارك",12,IF(H49="استاذ مساعد",14,16))))))</f>
        <v>12</v>
      </c>
      <c r="O49" t="str">
        <v>79</v>
      </c>
      <c r="P49" t="str">
        <v>على رأس عمله</v>
      </c>
      <c r="Q49" t="str">
        <v>٧-١١-١٤٣٨</v>
      </c>
    </row>
    <row r="50">
      <c r="A50">
        <v>49</v>
      </c>
      <c r="B50" t="str">
        <v>4380095</v>
      </c>
      <c r="C50" t="str">
        <v>ايمن حسن سعيد بازهير</v>
      </c>
      <c r="D50" t="str">
        <v>abazhair@tu.edu.sa</v>
      </c>
      <c r="E50" t="str">
        <v>506619165</v>
      </c>
      <c r="F50" t="str">
        <v>قسم الاقتصاد و التمويل</v>
      </c>
      <c r="G50" t="str">
        <v>طلاب</v>
      </c>
      <c r="H50" t="str">
        <v>استاذ مشارك</v>
      </c>
      <c r="L50" t="str">
        <v>بدون تخفيض نصاب</v>
      </c>
      <c r="M50" t="str">
        <v>بدون تخفيض نصاب</v>
      </c>
      <c r="N50">
        <f>IF(OR(ISNUMBER(SEARCH("معار",I50&amp;" "&amp;K50&amp;" "&amp;M50)),ISNUMBER(SEARCH("مجاز",I50&amp;" "&amp;K50&amp;" "&amp;M50)),ISNUMBER(SEARCH("مبتعث",I50&amp;" "&amp;K50&amp;" "&amp;M50))),0,IF(M50="الحد الأدنى",3,IF(M50="50%",ROUND(IF(H50="استاذ",10,IF(H50="استاذ مشارك",12,IF(H50="استاذ مساعد",14,16)))/2,0),IF(H50="استاذ",10,IF(H50="استاذ مشارك",12,IF(H50="استاذ مساعد",14,16))))))</f>
        <v>12</v>
      </c>
      <c r="O50" t="str">
        <v>77</v>
      </c>
      <c r="P50" t="str">
        <v>على رأس عمله</v>
      </c>
      <c r="Q50" t="str">
        <v>١٤-١١-١٤٣٨</v>
      </c>
    </row>
    <row r="51">
      <c r="A51">
        <v>50</v>
      </c>
      <c r="B51" t="str">
        <v>4400198</v>
      </c>
      <c r="C51" t="str">
        <v>اشرف حسن احمد الحاج</v>
      </c>
      <c r="D51" t="str">
        <v>hag@tu.edu.sa</v>
      </c>
      <c r="E51" t="str">
        <v>565960474</v>
      </c>
      <c r="F51" t="str">
        <v>قسم الاقتصاد و التمويل</v>
      </c>
      <c r="G51" t="str">
        <v>طلاب</v>
      </c>
      <c r="H51" t="str">
        <v>استاذ مشارك</v>
      </c>
      <c r="L51" t="str">
        <v>بدون تخفيض نصاب</v>
      </c>
      <c r="M51" t="str">
        <v>بدون تخفيض نصاب</v>
      </c>
      <c r="N51">
        <f>IF(OR(ISNUMBER(SEARCH("معار",I51&amp;" "&amp;K51&amp;" "&amp;M51)),ISNUMBER(SEARCH("مجاز",I51&amp;" "&amp;K51&amp;" "&amp;M51)),ISNUMBER(SEARCH("مبتعث",I51&amp;" "&amp;K51&amp;" "&amp;M51))),0,IF(M51="الحد الأدنى",3,IF(M51="50%",ROUND(IF(H51="استاذ",10,IF(H51="استاذ مشارك",12,IF(H51="استاذ مساعد",14,16)))/2,0),IF(H51="استاذ",10,IF(H51="استاذ مشارك",12,IF(H51="استاذ مساعد",14,16))))))</f>
        <v>12</v>
      </c>
      <c r="O51" t="str">
        <v>80</v>
      </c>
      <c r="P51" t="str">
        <v>على رأس عمله</v>
      </c>
      <c r="Q51" t="str">
        <v>١٧-١٢-١٤٤٠</v>
      </c>
    </row>
    <row r="52">
      <c r="A52">
        <v>51</v>
      </c>
      <c r="B52" t="str">
        <v>4400211</v>
      </c>
      <c r="C52" t="str">
        <v>مهند جعفر حسن حبيب</v>
      </c>
      <c r="D52" t="str">
        <v>mghabib@tu.edu.sa</v>
      </c>
      <c r="E52" t="str">
        <v>531302174</v>
      </c>
      <c r="F52" t="str">
        <v>قسم الاقتصاد و التمويل</v>
      </c>
      <c r="G52" t="str">
        <v>طلاب</v>
      </c>
      <c r="H52" t="str">
        <v>استاذ مشارك</v>
      </c>
      <c r="L52" t="str">
        <v>بدون تخفيض نصاب</v>
      </c>
      <c r="M52" t="str">
        <v>بدون تخفيض نصاب</v>
      </c>
      <c r="N52">
        <f>IF(OR(ISNUMBER(SEARCH("معار",I52&amp;" "&amp;K52&amp;" "&amp;M52)),ISNUMBER(SEARCH("مجاز",I52&amp;" "&amp;K52&amp;" "&amp;M52)),ISNUMBER(SEARCH("مبتعث",I52&amp;" "&amp;K52&amp;" "&amp;M52))),0,IF(M52="الحد الأدنى",3,IF(M52="50%",ROUND(IF(H52="استاذ",10,IF(H52="استاذ مشارك",12,IF(H52="استاذ مساعد",14,16)))/2,0),IF(H52="استاذ",10,IF(H52="استاذ مشارك",12,IF(H52="استاذ مساعد",14,16))))))</f>
        <v>12</v>
      </c>
      <c r="O52" t="str">
        <v>73</v>
      </c>
      <c r="P52" t="str">
        <v>على رأس عمله</v>
      </c>
      <c r="Q52" t="str">
        <v>١٧-١٢-١٤٤٠</v>
      </c>
    </row>
    <row r="53">
      <c r="A53">
        <v>52</v>
      </c>
      <c r="B53" t="str">
        <v>4260555</v>
      </c>
      <c r="C53" t="str">
        <v>محمد تركي حامد المطرفي</v>
      </c>
      <c r="D53" t="str">
        <v>m.turki@tu.edu.sa</v>
      </c>
      <c r="E53" t="str">
        <v>504408994</v>
      </c>
      <c r="F53" t="str">
        <v>قسم الاقتصاد و التمويل</v>
      </c>
      <c r="G53" t="str">
        <v>طلاب</v>
      </c>
      <c r="H53" t="str">
        <v>استاذ مساعد</v>
      </c>
      <c r="L53" t="str">
        <v>بدون تخفيض نصاب</v>
      </c>
      <c r="M53" t="str">
        <v>بدون تخفيض نصاب</v>
      </c>
      <c r="N53">
        <f>IF(OR(ISNUMBER(SEARCH("معار",I53&amp;" "&amp;K53&amp;" "&amp;M53)),ISNUMBER(SEARCH("مجاز",I53&amp;" "&amp;K53&amp;" "&amp;M53)),ISNUMBER(SEARCH("مبتعث",I53&amp;" "&amp;K53&amp;" "&amp;M53))),0,IF(M53="الحد الأدنى",3,IF(M53="50%",ROUND(IF(H53="استاذ",10,IF(H53="استاذ مشارك",12,IF(H53="استاذ مساعد",14,16)))/2,0),IF(H53="استاذ",10,IF(H53="استاذ مشارك",12,IF(H53="استاذ مساعد",14,16))))))</f>
        <v>14</v>
      </c>
      <c r="O53" t="str">
        <v>71</v>
      </c>
      <c r="P53" t="str">
        <v>على رأس عمله</v>
      </c>
      <c r="Q53" t="str">
        <v>٧-٠٧-١٤٢٧</v>
      </c>
    </row>
    <row r="54">
      <c r="A54">
        <v>53</v>
      </c>
      <c r="B54" t="str">
        <v>4350006</v>
      </c>
      <c r="C54" t="str">
        <v>خالد محمد قرني البدوي</v>
      </c>
      <c r="D54" t="str">
        <v>k.elbadawey@tu.edu.sa</v>
      </c>
      <c r="E54" t="str">
        <v>555266436</v>
      </c>
      <c r="F54" t="str">
        <v>قسم الاقتصاد و التمويل</v>
      </c>
      <c r="G54" t="str">
        <v>طلاب</v>
      </c>
      <c r="H54" t="str">
        <v>استاذ مساعد</v>
      </c>
      <c r="L54" t="str">
        <v>بدون تخفيض نصاب</v>
      </c>
      <c r="M54" t="str">
        <v>بدون تخفيض نصاب</v>
      </c>
      <c r="N54">
        <f>IF(OR(ISNUMBER(SEARCH("معار",I54&amp;" "&amp;K54&amp;" "&amp;M54)),ISNUMBER(SEARCH("مجاز",I54&amp;" "&amp;K54&amp;" "&amp;M54)),ISNUMBER(SEARCH("مبتعث",I54&amp;" "&amp;K54&amp;" "&amp;M54))),0,IF(M54="الحد الأدنى",3,IF(M54="50%",ROUND(IF(H54="استاذ",10,IF(H54="استاذ مشارك",12,IF(H54="استاذ مساعد",14,16)))/2,0),IF(H54="استاذ",10,IF(H54="استاذ مشارك",12,IF(H54="استاذ مساعد",14,16))))))</f>
        <v>14</v>
      </c>
      <c r="O54" t="str">
        <v>88</v>
      </c>
      <c r="P54" t="str">
        <v>على رأس عمله</v>
      </c>
      <c r="Q54" t="str">
        <v>٢١-١٠-١٤٣٥</v>
      </c>
    </row>
    <row r="55">
      <c r="A55">
        <v>54</v>
      </c>
      <c r="B55" t="str">
        <v>4390049</v>
      </c>
      <c r="C55" t="str">
        <v>اشرف كمال عثمان ابراهيم</v>
      </c>
      <c r="D55" t="str">
        <v>akibrahim@tu.edu.sa</v>
      </c>
      <c r="E55" t="str">
        <v>538130240</v>
      </c>
      <c r="F55" t="str">
        <v>قسم الاقتصاد و التمويل</v>
      </c>
      <c r="G55" t="str">
        <v>طلاب</v>
      </c>
      <c r="H55" t="str">
        <v>استاذ مساعد</v>
      </c>
      <c r="L55" t="str">
        <v>بدون تخفيض نصاب</v>
      </c>
      <c r="M55" t="str">
        <v>بدون تخفيض نصاب</v>
      </c>
      <c r="N55">
        <f>IF(OR(ISNUMBER(SEARCH("معار",I55&amp;" "&amp;K55&amp;" "&amp;M55)),ISNUMBER(SEARCH("مجاز",I55&amp;" "&amp;K55&amp;" "&amp;M55)),ISNUMBER(SEARCH("مبتعث",I55&amp;" "&amp;K55&amp;" "&amp;M55))),0,IF(M55="الحد الأدنى",3,IF(M55="50%",ROUND(IF(H55="استاذ",10,IF(H55="استاذ مشارك",12,IF(H55="استاذ مساعد",14,16)))/2,0),IF(H55="استاذ",10,IF(H55="استاذ مشارك",12,IF(H55="استاذ مساعد",14,16))))))</f>
        <v>14</v>
      </c>
      <c r="O55" t="str">
        <v>80</v>
      </c>
      <c r="P55" t="str">
        <v>على رأس عمله</v>
      </c>
      <c r="Q55" t="str">
        <v>٩-٠٢-١٤٣٩</v>
      </c>
    </row>
    <row r="56">
      <c r="A56">
        <v>55</v>
      </c>
      <c r="B56" t="str">
        <v>4390218</v>
      </c>
      <c r="C56" t="str">
        <v>يزيد عبدالعزيز حسين آل ناجي</v>
      </c>
      <c r="D56" t="str">
        <v>yazeedn@tu.edu.sa</v>
      </c>
      <c r="E56" t="str">
        <v>500606666</v>
      </c>
      <c r="F56" t="str">
        <v>قسم الاقتصاد و التمويل</v>
      </c>
      <c r="G56" t="str">
        <v>طلاب</v>
      </c>
      <c r="H56" t="str">
        <v>استاذ مساعد</v>
      </c>
      <c r="L56" t="str">
        <v>بدون تخفيض نصاب</v>
      </c>
      <c r="M56" t="str">
        <v>بدون تخفيض نصاب</v>
      </c>
      <c r="N56">
        <f>IF(OR(ISNUMBER(SEARCH("معار",I56&amp;" "&amp;K56&amp;" "&amp;M56)),ISNUMBER(SEARCH("مجاز",I56&amp;" "&amp;K56&amp;" "&amp;M56)),ISNUMBER(SEARCH("مبتعث",I56&amp;" "&amp;K56&amp;" "&amp;M56))),0,IF(M56="الحد الأدنى",3,IF(M56="50%",ROUND(IF(H56="استاذ",10,IF(H56="استاذ مشارك",12,IF(H56="استاذ مساعد",14,16)))/2,0),IF(H56="استاذ",10,IF(H56="استاذ مشارك",12,IF(H56="استاذ مساعد",14,16))))))</f>
        <v>14</v>
      </c>
      <c r="O56" t="str">
        <v>72</v>
      </c>
      <c r="P56" t="str">
        <v>على رأس عمله</v>
      </c>
      <c r="Q56" t="str">
        <v>١٢-١١-١٤٣٩</v>
      </c>
    </row>
    <row r="57">
      <c r="A57">
        <v>56</v>
      </c>
      <c r="B57" t="str">
        <v>4400032</v>
      </c>
      <c r="C57" t="str">
        <v>حاتم حسن ضيف الله سعيد</v>
      </c>
      <c r="D57" t="str">
        <v>hhsaeed@tu.edu.sa</v>
      </c>
      <c r="E57" t="str">
        <v>547046681</v>
      </c>
      <c r="F57" t="str">
        <v>قسم الاقتصاد و التمويل</v>
      </c>
      <c r="G57" t="str">
        <v>طلاب</v>
      </c>
      <c r="H57" t="str">
        <v>استاذ مساعد</v>
      </c>
      <c r="L57" t="str">
        <v>بدون تخفيض نصاب</v>
      </c>
      <c r="M57" t="str">
        <v>بدون تخفيض نصاب</v>
      </c>
      <c r="N57">
        <f>IF(OR(ISNUMBER(SEARCH("معار",I57&amp;" "&amp;K57&amp;" "&amp;M57)),ISNUMBER(SEARCH("مجاز",I57&amp;" "&amp;K57&amp;" "&amp;M57)),ISNUMBER(SEARCH("مبتعث",I57&amp;" "&amp;K57&amp;" "&amp;M57))),0,IF(M57="الحد الأدنى",3,IF(M57="50%",ROUND(IF(H57="استاذ",10,IF(H57="استاذ مشارك",12,IF(H57="استاذ مساعد",14,16)))/2,0),IF(H57="استاذ",10,IF(H57="استاذ مشارك",12,IF(H57="استاذ مساعد",14,16))))))</f>
        <v>14</v>
      </c>
      <c r="O57" t="str">
        <v>64</v>
      </c>
      <c r="P57" t="str">
        <v>على رأس عمله</v>
      </c>
      <c r="Q57" t="str">
        <v>١١-٠١-١٤٤٠</v>
      </c>
    </row>
    <row r="58">
      <c r="A58">
        <v>57</v>
      </c>
      <c r="B58" t="str">
        <v>4400069</v>
      </c>
      <c r="C58" t="str">
        <v>محمد سعد محمود عبد الرحيم</v>
      </c>
      <c r="D58" t="str">
        <v>msmahmoud@tu.edu.sa</v>
      </c>
      <c r="E58" t="str">
        <v>553702360</v>
      </c>
      <c r="F58" t="str">
        <v>قسم الاقتصاد و التمويل</v>
      </c>
      <c r="G58" t="str">
        <v>طلاب</v>
      </c>
      <c r="H58" t="str">
        <v>استاذ مساعد</v>
      </c>
      <c r="L58" t="str">
        <v>بدون تخفيض نصاب</v>
      </c>
      <c r="M58" t="str">
        <v>بدون تخفيض نصاب</v>
      </c>
      <c r="N58">
        <f>IF(OR(ISNUMBER(SEARCH("معار",I58&amp;" "&amp;K58&amp;" "&amp;M58)),ISNUMBER(SEARCH("مجاز",I58&amp;" "&amp;K58&amp;" "&amp;M58)),ISNUMBER(SEARCH("مبتعث",I58&amp;" "&amp;K58&amp;" "&amp;M58))),0,IF(M58="الحد الأدنى",3,IF(M58="50%",ROUND(IF(H58="استاذ",10,IF(H58="استاذ مشارك",12,IF(H58="استاذ مساعد",14,16)))/2,0),IF(H58="استاذ",10,IF(H58="استاذ مشارك",12,IF(H58="استاذ مساعد",14,16))))))</f>
        <v>14</v>
      </c>
      <c r="O58" t="str">
        <v>62</v>
      </c>
      <c r="P58" t="str">
        <v>على رأس عمله</v>
      </c>
      <c r="Q58" t="str">
        <v>٥-٠٣-١٤٤٠</v>
      </c>
    </row>
    <row r="59">
      <c r="A59">
        <v>58</v>
      </c>
      <c r="B59" t="str">
        <v>4400216</v>
      </c>
      <c r="C59" t="str">
        <v>بشير بكرى عجيب بابكر</v>
      </c>
      <c r="D59" t="str">
        <v>babiker@tu.edu.sa</v>
      </c>
      <c r="E59" t="str">
        <v>550740600</v>
      </c>
      <c r="F59" t="str">
        <v>قسم الاقتصاد و التمويل</v>
      </c>
      <c r="G59" t="str">
        <v>طلاب</v>
      </c>
      <c r="H59" t="str">
        <v>استاذ مساعد</v>
      </c>
      <c r="L59" t="str">
        <v>بدون تخفيض نصاب</v>
      </c>
      <c r="M59" t="str">
        <v>بدون تخفيض نصاب</v>
      </c>
      <c r="N59">
        <f>IF(OR(ISNUMBER(SEARCH("معار",I59&amp;" "&amp;K59&amp;" "&amp;M59)),ISNUMBER(SEARCH("مجاز",I59&amp;" "&amp;K59&amp;" "&amp;M59)),ISNUMBER(SEARCH("مبتعث",I59&amp;" "&amp;K59&amp;" "&amp;M59))),0,IF(M59="الحد الأدنى",3,IF(M59="50%",ROUND(IF(H59="استاذ",10,IF(H59="استاذ مشارك",12,IF(H59="استاذ مساعد",14,16)))/2,0),IF(H59="استاذ",10,IF(H59="استاذ مشارك",12,IF(H59="استاذ مساعد",14,16))))))</f>
        <v>14</v>
      </c>
      <c r="O59" t="str">
        <v>85</v>
      </c>
      <c r="P59" t="str">
        <v>على رأس عمله</v>
      </c>
      <c r="Q59" t="str">
        <v>١٧-١٢-١٤٤٠</v>
      </c>
    </row>
    <row r="60">
      <c r="A60">
        <v>59</v>
      </c>
      <c r="B60" t="str">
        <v>4300122</v>
      </c>
      <c r="C60" t="str">
        <v>عماد علي ابراهيم باشهاب</v>
      </c>
      <c r="D60" t="str">
        <v>emadab@tu.edu.sa</v>
      </c>
      <c r="E60" t="str">
        <v>506552157</v>
      </c>
      <c r="F60" t="str">
        <v>قسم الاقتصاد و التمويل</v>
      </c>
      <c r="G60" t="str">
        <v>طلاب</v>
      </c>
      <c r="H60" t="str">
        <v>محاضر</v>
      </c>
      <c r="L60" t="str">
        <v>بدون تخفيض نصاب</v>
      </c>
      <c r="M60" t="str">
        <v>بدون تخفيض نصاب</v>
      </c>
      <c r="N60">
        <f>IF(OR(ISNUMBER(SEARCH("معار",I60&amp;" "&amp;K60&amp;" "&amp;M60)),ISNUMBER(SEARCH("مجاز",I60&amp;" "&amp;K60&amp;" "&amp;M60)),ISNUMBER(SEARCH("مبتعث",I60&amp;" "&amp;K60&amp;" "&amp;M60))),0,IF(M60="الحد الأدنى",3,IF(M60="50%",ROUND(IF(H60="استاذ",10,IF(H60="استاذ مشارك",12,IF(H60="استاذ مساعد",14,16)))/2,0),IF(H60="استاذ",10,IF(H60="استاذ مشارك",12,IF(H60="استاذ مساعد",14,16))))))</f>
        <v>16</v>
      </c>
      <c r="O60" t="str">
        <v>63 ومكتب رئيس القسم</v>
      </c>
      <c r="P60" t="str">
        <v>على رأس عمله</v>
      </c>
      <c r="Q60" t="str">
        <v>٧-٠٨-١٤٣٠</v>
      </c>
    </row>
    <row r="61">
      <c r="A61">
        <v>60</v>
      </c>
      <c r="B61" t="str">
        <v>4310061</v>
      </c>
      <c r="C61" t="str">
        <v>احمد حسين احمد سبحي</v>
      </c>
      <c r="D61" t="str">
        <v>Ahmad_Subahe@tu.edu.sa</v>
      </c>
      <c r="E61" t="str">
        <v>555563454</v>
      </c>
      <c r="F61" t="str">
        <v>قسم الاقتصاد و التمويل</v>
      </c>
      <c r="G61" t="str">
        <v>طلاب</v>
      </c>
      <c r="H61" t="str">
        <v>محاضر</v>
      </c>
      <c r="L61" t="str">
        <v>بدون تخفيض نصاب</v>
      </c>
      <c r="M61" t="str">
        <v>بدون تخفيض نصاب</v>
      </c>
      <c r="N61">
        <f>IF(OR(ISNUMBER(SEARCH("معار",I61&amp;" "&amp;K61&amp;" "&amp;M61)),ISNUMBER(SEARCH("مجاز",I61&amp;" "&amp;K61&amp;" "&amp;M61)),ISNUMBER(SEARCH("مبتعث",I61&amp;" "&amp;K61&amp;" "&amp;M61))),0,IF(M61="الحد الأدنى",3,IF(M61="50%",ROUND(IF(H61="استاذ",10,IF(H61="استاذ مشارك",12,IF(H61="استاذ مساعد",14,16)))/2,0),IF(H61="استاذ",10,IF(H61="استاذ مشارك",12,IF(H61="استاذ مساعد",14,16))))))</f>
        <v>16</v>
      </c>
      <c r="P61" t="str">
        <v>على رأس عمله</v>
      </c>
      <c r="Q61" t="str">
        <v>١٨-٠٢-١٤٣١</v>
      </c>
    </row>
    <row r="62">
      <c r="A62">
        <v>61</v>
      </c>
      <c r="B62" t="str">
        <v>4340418</v>
      </c>
      <c r="C62" t="str">
        <v>خالد احمد مسفر القشيري الغامدي</v>
      </c>
      <c r="D62" t="str">
        <v>k.algushiri@tu.edu.sa</v>
      </c>
      <c r="E62" t="str">
        <v>544437372</v>
      </c>
      <c r="F62" t="str">
        <v>قسم الاقتصاد و التمويل</v>
      </c>
      <c r="G62" t="str">
        <v>طلاب</v>
      </c>
      <c r="H62" t="str">
        <v>محاضر</v>
      </c>
      <c r="L62" t="str">
        <v>بدون تخفيض نصاب</v>
      </c>
      <c r="M62" t="str">
        <v>بدون تخفيض نصاب</v>
      </c>
      <c r="N62">
        <f>IF(OR(ISNUMBER(SEARCH("معار",I62&amp;" "&amp;K62&amp;" "&amp;M62)),ISNUMBER(SEARCH("مجاز",I62&amp;" "&amp;K62&amp;" "&amp;M62)),ISNUMBER(SEARCH("مبتعث",I62&amp;" "&amp;K62&amp;" "&amp;M62))),0,IF(M62="الحد الأدنى",3,IF(M62="50%",ROUND(IF(H62="استاذ",10,IF(H62="استاذ مشارك",12,IF(H62="استاذ مساعد",14,16)))/2,0),IF(H62="استاذ",10,IF(H62="استاذ مشارك",12,IF(H62="استاذ مساعد",14,16))))))</f>
        <v>16</v>
      </c>
      <c r="O62" t="str">
        <v>87</v>
      </c>
      <c r="P62" t="str">
        <v>على رأس عمله</v>
      </c>
      <c r="Q62" t="str">
        <v>٢٣-٠٤-١٤٣٥</v>
      </c>
    </row>
    <row r="63">
      <c r="A63">
        <v>62</v>
      </c>
      <c r="B63" t="str">
        <v>4310176</v>
      </c>
      <c r="C63" t="str">
        <v>فائز عباد عريج الشاطري المطيري</v>
      </c>
      <c r="D63" t="str">
        <v>f.abbad@tu.edu.sa</v>
      </c>
      <c r="E63" t="str">
        <v>569536447</v>
      </c>
      <c r="F63" t="str">
        <v>قسم الاقتصاد و التمويل</v>
      </c>
      <c r="G63" t="str">
        <v>طلاب</v>
      </c>
      <c r="H63" t="str">
        <v>معيد</v>
      </c>
      <c r="L63" t="str">
        <v>بدون تخفيض نصاب</v>
      </c>
      <c r="M63" t="str">
        <v>بدون تخفيض نصاب</v>
      </c>
      <c r="N63">
        <f>IF(OR(ISNUMBER(SEARCH("معار",I63&amp;" "&amp;K63&amp;" "&amp;M63)),ISNUMBER(SEARCH("مجاز",I63&amp;" "&amp;K63&amp;" "&amp;M63)),ISNUMBER(SEARCH("مبتعث",I63&amp;" "&amp;K63&amp;" "&amp;M63))),0,IF(M63="الحد الأدنى",3,IF(M63="50%",ROUND(IF(H63="استاذ",10,IF(H63="استاذ مشارك",12,IF(H63="استاذ مساعد",14,16)))/2,0),IF(H63="استاذ",10,IF(H63="استاذ مشارك",12,IF(H63="استاذ مساعد",14,16))))))</f>
        <v>16</v>
      </c>
      <c r="O63" t="str">
        <v>79</v>
      </c>
      <c r="P63" t="str">
        <v>على رأس عمله</v>
      </c>
      <c r="Q63" t="str">
        <v>١٣-٠٥-١٤٣١</v>
      </c>
    </row>
    <row r="64">
      <c r="A64">
        <v>63</v>
      </c>
      <c r="B64" t="str">
        <v>4360220</v>
      </c>
      <c r="C64" t="str">
        <v>صالح محمد إبراهيم قاضي</v>
      </c>
      <c r="D64" t="str">
        <v>K.saleh@tu.edu.sa</v>
      </c>
      <c r="E64" t="str">
        <v>548477277</v>
      </c>
      <c r="F64" t="str">
        <v>قسم نظم المعلومات الادارية</v>
      </c>
      <c r="G64" t="str">
        <v>طلاب</v>
      </c>
      <c r="H64" t="str">
        <v>استاذ مشارك</v>
      </c>
      <c r="I64" t="str">
        <v>وكيل كلية</v>
      </c>
      <c r="J64" t="str">
        <v>وكيل كلية إدارة الأعمال</v>
      </c>
      <c r="K64" t="str">
        <v>أمين مجلس كلية إدارة الأعمال</v>
      </c>
      <c r="L64" t="str">
        <v>معفي من الارشاد</v>
      </c>
      <c r="M64" t="str">
        <v>الحد الأدنى</v>
      </c>
      <c r="N64">
        <f>IF(OR(ISNUMBER(SEARCH("معار",I64&amp;" "&amp;K64&amp;" "&amp;M64)),ISNUMBER(SEARCH("مجاز",I64&amp;" "&amp;K64&amp;" "&amp;M64)),ISNUMBER(SEARCH("مبتعث",I64&amp;" "&amp;K64&amp;" "&amp;M64))),0,IF(M64="الحد الأدنى",3,IF(M64="50%",ROUND(IF(H64="استاذ",10,IF(H64="استاذ مشارك",12,IF(H64="استاذ مساعد",14,16)))/2,0),IF(H64="استاذ",10,IF(H64="استاذ مشارك",12,IF(H64="استاذ مساعد",14,16))))))</f>
        <v>3</v>
      </c>
      <c r="O64" t="str">
        <v>49</v>
      </c>
      <c r="P64" t="str">
        <v>على رأس عمله</v>
      </c>
      <c r="Q64" t="str">
        <v>١١-٠٩-١٤٣٦</v>
      </c>
    </row>
    <row r="65">
      <c r="A65">
        <v>64</v>
      </c>
      <c r="B65" t="str">
        <v>4300324</v>
      </c>
      <c r="C65" t="str">
        <v>معاذ يوسف ابراهيم الذنيبات</v>
      </c>
      <c r="D65" t="str">
        <v>Muath@tu.edu.sa</v>
      </c>
      <c r="E65" t="str">
        <v>598711850</v>
      </c>
      <c r="F65" t="str">
        <v>قسم نظم المعلومات الادارية</v>
      </c>
      <c r="G65" t="str">
        <v>طلاب</v>
      </c>
      <c r="H65" t="str">
        <v>استاذ مشارك</v>
      </c>
      <c r="I65" t="str">
        <v>امين قسم</v>
      </c>
      <c r="J65" t="str">
        <v>أمين قسم نظم المعلومات الإدارية</v>
      </c>
      <c r="L65" t="str">
        <v>حالات خاصة</v>
      </c>
      <c r="M65" t="str">
        <v>بدون تخفيض نصاب</v>
      </c>
      <c r="N65">
        <f>IF(OR(ISNUMBER(SEARCH("معار",I65&amp;" "&amp;K65&amp;" "&amp;M65)),ISNUMBER(SEARCH("مجاز",I65&amp;" "&amp;K65&amp;" "&amp;M65)),ISNUMBER(SEARCH("مبتعث",I65&amp;" "&amp;K65&amp;" "&amp;M65))),0,IF(M65="الحد الأدنى",3,IF(M65="50%",ROUND(IF(H65="استاذ",10,IF(H65="استاذ مشارك",12,IF(H65="استاذ مساعد",14,16)))/2,0),IF(H65="استاذ",10,IF(H65="استاذ مشارك",12,IF(H65="استاذ مساعد",14,16))))))</f>
        <v>12</v>
      </c>
      <c r="O65" t="str">
        <v>57</v>
      </c>
      <c r="P65" t="str">
        <v>على رأس عمله</v>
      </c>
      <c r="Q65" t="str">
        <v>٧-١٠-١٤٣٠</v>
      </c>
    </row>
    <row r="66">
      <c r="A66">
        <v>65</v>
      </c>
      <c r="B66" t="str">
        <v>4280579</v>
      </c>
      <c r="C66" t="str">
        <v>سليمان مفوز سليم الفواز</v>
      </c>
      <c r="D66" t="str">
        <v>salfawaz@tu.edu.sa</v>
      </c>
      <c r="E66" t="str">
        <v>551751515</v>
      </c>
      <c r="F66" t="str">
        <v>قسم نظم المعلومات الادارية</v>
      </c>
      <c r="G66" t="str">
        <v>طلاب</v>
      </c>
      <c r="H66" t="str">
        <v>محاضر</v>
      </c>
      <c r="I66" t="str">
        <v>نائب رئيس وحدة</v>
      </c>
      <c r="J66" t="str">
        <v>نائب رئيس وحدة الارشاد الاكاديمي والخريجين</v>
      </c>
      <c r="K66" t="str">
        <v>مستشار عميد شؤون الطلاب</v>
      </c>
      <c r="L66" t="str">
        <v>معفي من الارشاد</v>
      </c>
      <c r="M66" t="str">
        <v>بدون تخفيض نصاب</v>
      </c>
      <c r="N66">
        <f>IF(OR(ISNUMBER(SEARCH("معار",I66&amp;" "&amp;K66&amp;" "&amp;M66)),ISNUMBER(SEARCH("مجاز",I66&amp;" "&amp;K66&amp;" "&amp;M66)),ISNUMBER(SEARCH("مبتعث",I66&amp;" "&amp;K66&amp;" "&amp;M66))),0,IF(M66="الحد الأدنى",3,IF(M66="50%",ROUND(IF(H66="استاذ",10,IF(H66="استاذ مشارك",12,IF(H66="استاذ مساعد",14,16)))/2,0),IF(H66="استاذ",10,IF(H66="استاذ مشارك",12,IF(H66="استاذ مساعد",14,16))))))</f>
        <v>16</v>
      </c>
      <c r="O66" t="str">
        <v>56</v>
      </c>
      <c r="P66" t="str">
        <v>على رأس عمله</v>
      </c>
      <c r="Q66" t="str">
        <v>١٩-٠٧-١٤٢٩</v>
      </c>
    </row>
    <row r="67">
      <c r="A67">
        <v>66</v>
      </c>
      <c r="B67" t="str">
        <v>4340393</v>
      </c>
      <c r="C67" t="str">
        <v>صالح حامد احمد العريفي</v>
      </c>
      <c r="D67" t="str">
        <v>s.hamed@tu.edu.sa</v>
      </c>
      <c r="E67" t="str">
        <v>560008344</v>
      </c>
      <c r="F67" t="str">
        <v>قسم نظم المعلومات الادارية</v>
      </c>
      <c r="G67" t="str">
        <v>طلاب</v>
      </c>
      <c r="H67" t="str">
        <v>استاذ مشارك</v>
      </c>
      <c r="I67" t="str">
        <v>منسق وحدة</v>
      </c>
      <c r="J67" t="str">
        <v>منسق قسم نظم المعلومات الإدارية لوحدة الأرشاد الأكاديمي والخريجين</v>
      </c>
      <c r="L67" t="str">
        <v>50%</v>
      </c>
      <c r="M67" t="str">
        <v>بدون تخفيض نصاب</v>
      </c>
      <c r="N67">
        <f>IF(OR(ISNUMBER(SEARCH("معار",I67&amp;" "&amp;K67&amp;" "&amp;M67)),ISNUMBER(SEARCH("مجاز",I67&amp;" "&amp;K67&amp;" "&amp;M67)),ISNUMBER(SEARCH("مبتعث",I67&amp;" "&amp;K67&amp;" "&amp;M67))),0,IF(M67="الحد الأدنى",3,IF(M67="50%",ROUND(IF(H67="استاذ",10,IF(H67="استاذ مشارك",12,IF(H67="استاذ مساعد",14,16)))/2,0),IF(H67="استاذ",10,IF(H67="استاذ مشارك",12,IF(H67="استاذ مساعد",14,16))))))</f>
        <v>12</v>
      </c>
      <c r="O67" t="str">
        <v>55</v>
      </c>
      <c r="P67" t="str">
        <v>على رأس عمله</v>
      </c>
      <c r="Q67" t="str">
        <v>١٤-٠٣-١٤٣٥</v>
      </c>
    </row>
    <row r="68">
      <c r="A68">
        <v>67</v>
      </c>
      <c r="B68" t="str">
        <v>4310499</v>
      </c>
      <c r="C68" t="str">
        <v>نواف محسن عايض الحميدي</v>
      </c>
      <c r="D68" t="str">
        <v>n.alhumaidi@tu.edu.sa</v>
      </c>
      <c r="E68" t="str">
        <v>507000144</v>
      </c>
      <c r="F68" t="str">
        <v>قسم نظم المعلومات الادارية</v>
      </c>
      <c r="G68" t="str">
        <v>طلاب</v>
      </c>
      <c r="H68" t="str">
        <v>استاذ مشارك</v>
      </c>
      <c r="L68" t="str">
        <v>بدون تخفيض نصاب</v>
      </c>
      <c r="M68" t="str">
        <v>بدون تخفيض نصاب</v>
      </c>
      <c r="N68">
        <f>IF(OR(ISNUMBER(SEARCH("معار",I68&amp;" "&amp;K68&amp;" "&amp;M68)),ISNUMBER(SEARCH("مجاز",I68&amp;" "&amp;K68&amp;" "&amp;M68)),ISNUMBER(SEARCH("مبتعث",I68&amp;" "&amp;K68&amp;" "&amp;M68))),0,IF(M68="الحد الأدنى",3,IF(M68="50%",ROUND(IF(H68="استاذ",10,IF(H68="استاذ مشارك",12,IF(H68="استاذ مساعد",14,16)))/2,0),IF(H68="استاذ",10,IF(H68="استاذ مشارك",12,IF(H68="استاذ مساعد",14,16))))))</f>
        <v>12</v>
      </c>
      <c r="O68" t="str">
        <v>48</v>
      </c>
      <c r="P68" t="str">
        <v>على رأس عمله</v>
      </c>
      <c r="Q68" t="str">
        <v>٢٣-١١-١٤٣١</v>
      </c>
    </row>
    <row r="69">
      <c r="A69">
        <v>68</v>
      </c>
      <c r="B69" t="str">
        <v>4310503</v>
      </c>
      <c r="C69" t="str">
        <v>فهد مصلح منيف السعدي</v>
      </c>
      <c r="D69" t="str">
        <v>fmsaadi@tu.edu.sa</v>
      </c>
      <c r="E69" t="str">
        <v>556700466</v>
      </c>
      <c r="F69" t="str">
        <v>قسم نظم المعلومات الادارية</v>
      </c>
      <c r="G69" t="str">
        <v>طلاب</v>
      </c>
      <c r="H69" t="str">
        <v>استاذ مساعد</v>
      </c>
      <c r="L69" t="str">
        <v>بدون تخفيض نصاب</v>
      </c>
      <c r="M69" t="str">
        <v>بدون تخفيض نصاب</v>
      </c>
      <c r="N69">
        <f>IF(OR(ISNUMBER(SEARCH("معار",I69&amp;" "&amp;K69&amp;" "&amp;M69)),ISNUMBER(SEARCH("مجاز",I69&amp;" "&amp;K69&amp;" "&amp;M69)),ISNUMBER(SEARCH("مبتعث",I69&amp;" "&amp;K69&amp;" "&amp;M69))),0,IF(M69="الحد الأدنى",3,IF(M69="50%",ROUND(IF(H69="استاذ",10,IF(H69="استاذ مشارك",12,IF(H69="استاذ مساعد",14,16)))/2,0),IF(H69="استاذ",10,IF(H69="استاذ مشارك",12,IF(H69="استاذ مساعد",14,16))))))</f>
        <v>14</v>
      </c>
      <c r="O69" t="str">
        <v>51</v>
      </c>
      <c r="P69" t="str">
        <v>على رأس عمله</v>
      </c>
      <c r="Q69" t="str">
        <v>١٩-١١-١٤٣١</v>
      </c>
    </row>
    <row r="70">
      <c r="A70">
        <v>69</v>
      </c>
      <c r="B70" t="str">
        <v>4370178</v>
      </c>
      <c r="C70" t="str">
        <v>زياد حمود عبدالعزيز العضيله المطيري</v>
      </c>
      <c r="D70" t="str">
        <v>A.zyad@tu.edu.sa</v>
      </c>
      <c r="E70" t="str">
        <v>537413537</v>
      </c>
      <c r="F70" t="str">
        <v>قسم نظم المعلومات الادارية</v>
      </c>
      <c r="G70" t="str">
        <v>طلاب</v>
      </c>
      <c r="H70" t="str">
        <v>استاذ مساعد</v>
      </c>
      <c r="L70" t="str">
        <v>بدون تخفيض نصاب</v>
      </c>
      <c r="M70" t="str">
        <v>بدون تخفيض نصاب</v>
      </c>
      <c r="N70">
        <f>IF(OR(ISNUMBER(SEARCH("معار",I70&amp;" "&amp;K70&amp;" "&amp;M70)),ISNUMBER(SEARCH("مجاز",I70&amp;" "&amp;K70&amp;" "&amp;M70)),ISNUMBER(SEARCH("مبتعث",I70&amp;" "&amp;K70&amp;" "&amp;M70))),0,IF(M70="الحد الأدنى",3,IF(M70="50%",ROUND(IF(H70="استاذ",10,IF(H70="استاذ مشارك",12,IF(H70="استاذ مساعد",14,16)))/2,0),IF(H70="استاذ",10,IF(H70="استاذ مشارك",12,IF(H70="استاذ مساعد",14,16))))))</f>
        <v>14</v>
      </c>
      <c r="O70" t="str">
        <v>56</v>
      </c>
      <c r="P70" t="str">
        <v>على رأس عمله</v>
      </c>
      <c r="Q70" t="str">
        <v>٢٤-٠٩-١٤٣٧</v>
      </c>
    </row>
    <row r="71">
      <c r="A71">
        <v>70</v>
      </c>
      <c r="B71" t="str">
        <v>4280812</v>
      </c>
      <c r="C71" t="str">
        <v>طارق حلمى عبدالنبي علي</v>
      </c>
      <c r="D71" t="str">
        <v>t.helmi@tu.edu.sa</v>
      </c>
      <c r="E71" t="str">
        <v>507230806</v>
      </c>
      <c r="F71" t="str">
        <v>قسم نظم المعلومات الادارية</v>
      </c>
      <c r="G71" t="str">
        <v>طلاب</v>
      </c>
      <c r="H71" t="str">
        <v>استاذ مساعد</v>
      </c>
      <c r="L71" t="str">
        <v>بدون تخفيض نصاب</v>
      </c>
      <c r="M71" t="str">
        <v>بدون تخفيض نصاب</v>
      </c>
      <c r="N71">
        <f>IF(OR(ISNUMBER(SEARCH("معار",I71&amp;" "&amp;K71&amp;" "&amp;M71)),ISNUMBER(SEARCH("مجاز",I71&amp;" "&amp;K71&amp;" "&amp;M71)),ISNUMBER(SEARCH("مبتعث",I71&amp;" "&amp;K71&amp;" "&amp;M71))),0,IF(M71="الحد الأدنى",3,IF(M71="50%",ROUND(IF(H71="استاذ",10,IF(H71="استاذ مشارك",12,IF(H71="استاذ مساعد",14,16)))/2,0),IF(H71="استاذ",10,IF(H71="استاذ مشارك",12,IF(H71="استاذ مساعد",14,16))))))</f>
        <v>14</v>
      </c>
      <c r="O71" t="str">
        <v>50</v>
      </c>
      <c r="P71" t="str">
        <v>على رأس عمله</v>
      </c>
    </row>
    <row r="72">
      <c r="A72">
        <v>71</v>
      </c>
      <c r="B72" t="str">
        <v>4270091</v>
      </c>
      <c r="C72" t="str">
        <v>هتان عبدالعزيز راجح الشريف</v>
      </c>
      <c r="D72" t="str">
        <v>Hattan@tu.edu.sa</v>
      </c>
      <c r="E72" t="str">
        <v>566644443</v>
      </c>
      <c r="F72" t="str">
        <v>قسم نظم المعلومات الادارية</v>
      </c>
      <c r="G72" t="str">
        <v>طلاب</v>
      </c>
      <c r="H72" t="str">
        <v>محاضر</v>
      </c>
      <c r="L72" t="str">
        <v>بدون تخفيض نصاب</v>
      </c>
      <c r="M72" t="str">
        <v>بدون تخفيض نصاب</v>
      </c>
      <c r="N72">
        <f>IF(OR(ISNUMBER(SEARCH("معار",I72&amp;" "&amp;K72&amp;" "&amp;M72)),ISNUMBER(SEARCH("مجاز",I72&amp;" "&amp;K72&amp;" "&amp;M72)),ISNUMBER(SEARCH("مبتعث",I72&amp;" "&amp;K72&amp;" "&amp;M72))),0,IF(M72="الحد الأدنى",3,IF(M72="50%",ROUND(IF(H72="استاذ",10,IF(H72="استاذ مشارك",12,IF(H72="استاذ مساعد",14,16)))/2,0),IF(H72="استاذ",10,IF(H72="استاذ مشارك",12,IF(H72="استاذ مساعد",14,16))))))</f>
        <v>16</v>
      </c>
      <c r="O72" t="str">
        <v>58</v>
      </c>
      <c r="P72" t="str">
        <v>على رأس عمله</v>
      </c>
      <c r="Q72" t="str">
        <v>٢٤-٠٧-١٤٢٨</v>
      </c>
    </row>
    <row r="73">
      <c r="A73">
        <v>72</v>
      </c>
      <c r="B73" t="str">
        <v>4310166</v>
      </c>
      <c r="C73" t="str">
        <v>محمد عبد الله وصل الرفاعي</v>
      </c>
      <c r="D73" t="str">
        <v>Marefi@tu.edu.sa</v>
      </c>
      <c r="E73" t="str">
        <v>557386040</v>
      </c>
      <c r="F73" t="str">
        <v>قسم نظم المعلومات الادارية</v>
      </c>
      <c r="G73" t="str">
        <v>طلاب</v>
      </c>
      <c r="H73" t="str">
        <v>محاضر</v>
      </c>
      <c r="L73" t="str">
        <v>بدون تخفيض نصاب</v>
      </c>
      <c r="M73" t="str">
        <v>بدون تخفيض نصاب</v>
      </c>
      <c r="N73">
        <f>IF(OR(ISNUMBER(SEARCH("معار",I73&amp;" "&amp;K73&amp;" "&amp;M73)),ISNUMBER(SEARCH("مجاز",I73&amp;" "&amp;K73&amp;" "&amp;M73)),ISNUMBER(SEARCH("مبتعث",I73&amp;" "&amp;K73&amp;" "&amp;M73))),0,IF(M73="الحد الأدنى",3,IF(M73="50%",ROUND(IF(H73="استاذ",10,IF(H73="استاذ مشارك",12,IF(H73="استاذ مساعد",14,16)))/2,0),IF(H73="استاذ",10,IF(H73="استاذ مشارك",12,IF(H73="استاذ مساعد",14,16))))))</f>
        <v>16</v>
      </c>
      <c r="O73" t="str">
        <v>مبنى 5000</v>
      </c>
      <c r="P73" t="str">
        <v>على رأس عمله</v>
      </c>
      <c r="Q73" t="str">
        <v>١-٠٤-١٤٣١</v>
      </c>
    </row>
    <row r="74">
      <c r="A74">
        <v>73</v>
      </c>
      <c r="B74" t="str">
        <v>4340339</v>
      </c>
      <c r="C74" t="str">
        <v>عبدالله ضاوي شعاف الذيابي العتيبي</v>
      </c>
      <c r="D74" t="str">
        <v>a.dhawi@tu.edu.sa</v>
      </c>
      <c r="E74" t="str">
        <v>501296069</v>
      </c>
      <c r="F74" t="str">
        <v>قسم الادارة</v>
      </c>
      <c r="G74" t="str">
        <v>طلاب</v>
      </c>
      <c r="H74" t="str">
        <v>استاذ مشارك</v>
      </c>
      <c r="I74" t="str">
        <v>معار</v>
      </c>
      <c r="J74" t="str">
        <v>معار / الكلية الجامعية بالخرمة</v>
      </c>
      <c r="L74" t="str">
        <v>معفي من الارشاد</v>
      </c>
      <c r="M74" t="str">
        <v>معفي من الارشاد</v>
      </c>
      <c r="N74">
        <f>IF(OR(ISNUMBER(SEARCH("معار",I74&amp;" "&amp;K74&amp;" "&amp;M74)),ISNUMBER(SEARCH("مجاز",I74&amp;" "&amp;K74&amp;" "&amp;M74)),ISNUMBER(SEARCH("مبتعث",I74&amp;" "&amp;K74&amp;" "&amp;M74))),0,IF(M74="الحد الأدنى",3,IF(M74="50%",ROUND(IF(H74="استاذ",10,IF(H74="استاذ مشارك",12,IF(H74="استاذ مساعد",14,16)))/2,0),IF(H74="استاذ",10,IF(H74="استاذ مشارك",12,IF(H74="استاذ مساعد",14,16))))))</f>
        <v>0</v>
      </c>
      <c r="O74" t="str">
        <v>25</v>
      </c>
      <c r="P74" t="str">
        <v>على رأس عمله</v>
      </c>
      <c r="Q74" t="str">
        <v>٢٥-١٢-١٤٣٤</v>
      </c>
    </row>
    <row r="75">
      <c r="A75">
        <v>74</v>
      </c>
      <c r="B75" t="str">
        <v>4410061</v>
      </c>
      <c r="C75" t="str">
        <v>حنان عثمان عمسيب محمد</v>
      </c>
      <c r="D75" t="str">
        <v>homohammed@tu.edu.sa</v>
      </c>
      <c r="E75" t="str">
        <v>533284918</v>
      </c>
      <c r="F75" t="str">
        <v>قسم الادارة</v>
      </c>
      <c r="G75" t="str">
        <v>طالبات</v>
      </c>
      <c r="H75" t="str">
        <v>استاذ مساعد</v>
      </c>
      <c r="I75" t="str">
        <v>منسق وحدة</v>
      </c>
      <c r="J75" t="str">
        <v>منسقة قسم الإدارة لوحدة الإرشاد الأكاديمي والخريجين</v>
      </c>
      <c r="L75" t="str">
        <v>50%</v>
      </c>
      <c r="M75" t="str">
        <v>بدون تخفيض نصاب</v>
      </c>
      <c r="N75">
        <f>IF(OR(ISNUMBER(SEARCH("معار",I75&amp;" "&amp;K75&amp;" "&amp;M75)),ISNUMBER(SEARCH("مجاز",I75&amp;" "&amp;K75&amp;" "&amp;M75)),ISNUMBER(SEARCH("مبتعث",I75&amp;" "&amp;K75&amp;" "&amp;M75))),0,IF(M75="الحد الأدنى",3,IF(M75="50%",ROUND(IF(H75="استاذ",10,IF(H75="استاذ مشارك",12,IF(H75="استاذ مساعد",14,16)))/2,0),IF(H75="استاذ",10,IF(H75="استاذ مشارك",12,IF(H75="استاذ مساعد",14,16))))))</f>
        <v>14</v>
      </c>
      <c r="O75" t="str">
        <v>223</v>
      </c>
      <c r="P75" t="str">
        <v>على رأس عمله</v>
      </c>
      <c r="Q75" t="str">
        <v>٢٧-٠٣-١٤٤١</v>
      </c>
    </row>
    <row r="76">
      <c r="A76">
        <v>75</v>
      </c>
      <c r="B76" t="str">
        <v>4270101</v>
      </c>
      <c r="C76" t="str">
        <v>ساميه عائض ساير الجعيد</v>
      </c>
      <c r="D76" t="str">
        <v>Samia.a@tu.edu.sa</v>
      </c>
      <c r="E76" t="str">
        <v>504727276</v>
      </c>
      <c r="F76" t="str">
        <v>قسم الادارة</v>
      </c>
      <c r="G76" t="str">
        <v>طالبات</v>
      </c>
      <c r="H76" t="str">
        <v>استاذ مشارك</v>
      </c>
      <c r="L76" t="str">
        <v>بدون تخفيض نصاب</v>
      </c>
      <c r="M76" t="str">
        <v>بدون تخفيض نصاب</v>
      </c>
      <c r="N76">
        <f>IF(OR(ISNUMBER(SEARCH("معار",I76&amp;" "&amp;K76&amp;" "&amp;M76)),ISNUMBER(SEARCH("مجاز",I76&amp;" "&amp;K76&amp;" "&amp;M76)),ISNUMBER(SEARCH("مبتعث",I76&amp;" "&amp;K76&amp;" "&amp;M76))),0,IF(M76="الحد الأدنى",3,IF(M76="50%",ROUND(IF(H76="استاذ",10,IF(H76="استاذ مشارك",12,IF(H76="استاذ مساعد",14,16)))/2,0),IF(H76="استاذ",10,IF(H76="استاذ مشارك",12,IF(H76="استاذ مساعد",14,16))))))</f>
        <v>12</v>
      </c>
      <c r="O76" t="str">
        <v>201</v>
      </c>
      <c r="P76" t="str">
        <v>على رأس عمله</v>
      </c>
      <c r="Q76" t="str">
        <v>٢٣-٠٧-١٤٢٨</v>
      </c>
    </row>
    <row r="77">
      <c r="A77">
        <v>76</v>
      </c>
      <c r="B77" t="str">
        <v>4380120</v>
      </c>
      <c r="C77" t="str">
        <v>عبير كامل سعد الفران</v>
      </c>
      <c r="D77" t="str">
        <v>akfarran@tu.edu.sa</v>
      </c>
      <c r="E77" t="str">
        <v>560454540</v>
      </c>
      <c r="F77" t="str">
        <v>قسم الادارة</v>
      </c>
      <c r="G77" t="str">
        <v>طالبات</v>
      </c>
      <c r="H77" t="str">
        <v>استاذ مشارك</v>
      </c>
      <c r="L77" t="str">
        <v>بدون تخفيض نصاب</v>
      </c>
      <c r="M77" t="str">
        <v>بدون تخفيض نصاب</v>
      </c>
      <c r="N77">
        <f>IF(OR(ISNUMBER(SEARCH("معار",I77&amp;" "&amp;K77&amp;" "&amp;M77)),ISNUMBER(SEARCH("مجاز",I77&amp;" "&amp;K77&amp;" "&amp;M77)),ISNUMBER(SEARCH("مبتعث",I77&amp;" "&amp;K77&amp;" "&amp;M77))),0,IF(M77="الحد الأدنى",3,IF(M77="50%",ROUND(IF(H77="استاذ",10,IF(H77="استاذ مشارك",12,IF(H77="استاذ مساعد",14,16)))/2,0),IF(H77="استاذ",10,IF(H77="استاذ مشارك",12,IF(H77="استاذ مساعد",14,16))))))</f>
        <v>12</v>
      </c>
      <c r="O77" t="str">
        <v>228</v>
      </c>
      <c r="P77" t="str">
        <v>على رأس عمله</v>
      </c>
      <c r="Q77" t="str">
        <v>١-١٢-١٤٣٨</v>
      </c>
    </row>
    <row r="78">
      <c r="A78">
        <v>77</v>
      </c>
      <c r="B78" t="str">
        <v>4320066</v>
      </c>
      <c r="C78" t="str">
        <v>اشجان عبد الله سالم باعقبه</v>
      </c>
      <c r="D78" t="str">
        <v>ashgan@tu.edu.sa</v>
      </c>
      <c r="E78" t="str">
        <v>590567278</v>
      </c>
      <c r="F78" t="str">
        <v>قسم الادارة</v>
      </c>
      <c r="G78" t="str">
        <v>طالبات</v>
      </c>
      <c r="H78" t="str">
        <v>استاذ مساعد</v>
      </c>
      <c r="L78" t="str">
        <v>بدون تخفيض نصاب</v>
      </c>
      <c r="M78" t="str">
        <v>بدون تخفيض نصاب</v>
      </c>
      <c r="N78">
        <f>IF(OR(ISNUMBER(SEARCH("معار",I78&amp;" "&amp;K78&amp;" "&amp;M78)),ISNUMBER(SEARCH("مجاز",I78&amp;" "&amp;K78&amp;" "&amp;M78)),ISNUMBER(SEARCH("مبتعث",I78&amp;" "&amp;K78&amp;" "&amp;M78))),0,IF(M78="الحد الأدنى",3,IF(M78="50%",ROUND(IF(H78="استاذ",10,IF(H78="استاذ مشارك",12,IF(H78="استاذ مساعد",14,16)))/2,0),IF(H78="استاذ",10,IF(H78="استاذ مشارك",12,IF(H78="استاذ مساعد",14,16))))))</f>
        <v>14</v>
      </c>
      <c r="O78" t="str">
        <v>229</v>
      </c>
      <c r="P78" t="str">
        <v>على رأس عمله</v>
      </c>
      <c r="Q78" t="str">
        <v>٢٧-٠٣-١٤٢٣</v>
      </c>
    </row>
    <row r="79">
      <c r="A79">
        <v>78</v>
      </c>
      <c r="B79" t="str">
        <v>4300178</v>
      </c>
      <c r="C79" t="str">
        <v>اسراء عبدالباقي عبدالرؤوف داود</v>
      </c>
      <c r="D79" t="str">
        <v>Isadaoud@tu.edu.sa</v>
      </c>
      <c r="E79" t="str">
        <v>535685558</v>
      </c>
      <c r="F79" t="str">
        <v>قسم الادارة</v>
      </c>
      <c r="G79" t="str">
        <v>طالبات</v>
      </c>
      <c r="H79" t="str">
        <v>استاذ مساعد</v>
      </c>
      <c r="L79" t="str">
        <v>بدون تخفيض نصاب</v>
      </c>
      <c r="M79" t="str">
        <v>بدون تخفيض نصاب</v>
      </c>
      <c r="N79">
        <f>IF(OR(ISNUMBER(SEARCH("معار",I79&amp;" "&amp;K79&amp;" "&amp;M79)),ISNUMBER(SEARCH("مجاز",I79&amp;" "&amp;K79&amp;" "&amp;M79)),ISNUMBER(SEARCH("مبتعث",I79&amp;" "&amp;K79&amp;" "&amp;M79))),0,IF(M79="الحد الأدنى",3,IF(M79="50%",ROUND(IF(H79="استاذ",10,IF(H79="استاذ مشارك",12,IF(H79="استاذ مساعد",14,16)))/2,0),IF(H79="استاذ",10,IF(H79="استاذ مشارك",12,IF(H79="استاذ مساعد",14,16))))))</f>
        <v>14</v>
      </c>
      <c r="O79" t="str">
        <v>224</v>
      </c>
      <c r="P79" t="str">
        <v>على رأس عمله</v>
      </c>
      <c r="Q79" t="str">
        <v>٤-٠٩-١٤٣٠</v>
      </c>
    </row>
    <row r="80">
      <c r="A80">
        <v>79</v>
      </c>
      <c r="B80" t="str">
        <v>4310538</v>
      </c>
      <c r="C80" t="str">
        <v>مشاعل نافع اسماعيل السهلي</v>
      </c>
      <c r="D80" t="str">
        <v>N.mashael@tu.edu.sa</v>
      </c>
      <c r="E80" t="str">
        <v>544800847</v>
      </c>
      <c r="F80" t="str">
        <v>قسم الادارة</v>
      </c>
      <c r="G80" t="str">
        <v>طالبات</v>
      </c>
      <c r="H80" t="str">
        <v>استاذ مساعد</v>
      </c>
      <c r="L80" t="str">
        <v>بدون تخفيض نصاب</v>
      </c>
      <c r="M80" t="str">
        <v>بدون تخفيض نصاب</v>
      </c>
      <c r="N80">
        <f>IF(OR(ISNUMBER(SEARCH("معار",I80&amp;" "&amp;K80&amp;" "&amp;M80)),ISNUMBER(SEARCH("مجاز",I80&amp;" "&amp;K80&amp;" "&amp;M80)),ISNUMBER(SEARCH("مبتعث",I80&amp;" "&amp;K80&amp;" "&amp;M80))),0,IF(M80="الحد الأدنى",3,IF(M80="50%",ROUND(IF(H80="استاذ",10,IF(H80="استاذ مشارك",12,IF(H80="استاذ مساعد",14,16)))/2,0),IF(H80="استاذ",10,IF(H80="استاذ مشارك",12,IF(H80="استاذ مساعد",14,16))))))</f>
        <v>14</v>
      </c>
      <c r="O80" t="str">
        <v>104</v>
      </c>
      <c r="P80" t="str">
        <v>على رأس عمله</v>
      </c>
      <c r="Q80" t="str">
        <v>٢٩-١١-١٤٣١</v>
      </c>
    </row>
    <row r="81">
      <c r="A81">
        <v>80</v>
      </c>
      <c r="B81" t="str">
        <v>4390013</v>
      </c>
      <c r="C81" t="str">
        <v>شيرين شريف عبداللطيف شريف</v>
      </c>
      <c r="D81" t="str">
        <v>shasherif@tu.edu.sa</v>
      </c>
      <c r="E81" t="str">
        <v>548931055</v>
      </c>
      <c r="F81" t="str">
        <v>قسم الادارة</v>
      </c>
      <c r="G81" t="str">
        <v>طالبات</v>
      </c>
      <c r="H81" t="str">
        <v>استاذ مساعد</v>
      </c>
      <c r="L81" t="str">
        <v>بدون تخفيض نصاب</v>
      </c>
      <c r="M81" t="str">
        <v>بدون تخفيض نصاب</v>
      </c>
      <c r="N81">
        <f>IF(OR(ISNUMBER(SEARCH("معار",I81&amp;" "&amp;K81&amp;" "&amp;M81)),ISNUMBER(SEARCH("مجاز",I81&amp;" "&amp;K81&amp;" "&amp;M81)),ISNUMBER(SEARCH("مبتعث",I81&amp;" "&amp;K81&amp;" "&amp;M81))),0,IF(M81="الحد الأدنى",3,IF(M81="50%",ROUND(IF(H81="استاذ",10,IF(H81="استاذ مشارك",12,IF(H81="استاذ مساعد",14,16)))/2,0),IF(H81="استاذ",10,IF(H81="استاذ مشارك",12,IF(H81="استاذ مساعد",14,16))))))</f>
        <v>14</v>
      </c>
      <c r="O81" t="str">
        <v>224</v>
      </c>
      <c r="P81" t="str">
        <v>على رأس عمله</v>
      </c>
      <c r="Q81" t="str">
        <v>٦-٠١-١٤٣٩</v>
      </c>
    </row>
    <row r="82">
      <c r="A82">
        <v>81</v>
      </c>
      <c r="B82" t="str">
        <v>4390211</v>
      </c>
      <c r="C82" t="str">
        <v>فوزية بخيت مبروك الحارثي</v>
      </c>
      <c r="D82" t="str">
        <v>fbharthi@tu.edu.sa</v>
      </c>
      <c r="E82" t="str">
        <v>544762737</v>
      </c>
      <c r="F82" t="str">
        <v>قسم الادارة</v>
      </c>
      <c r="G82" t="str">
        <v>طالبات</v>
      </c>
      <c r="H82" t="str">
        <v>استاذ مساعد</v>
      </c>
      <c r="L82" t="str">
        <v>بدون تخفيض نصاب</v>
      </c>
      <c r="M82" t="str">
        <v>بدون تخفيض نصاب</v>
      </c>
      <c r="N82">
        <f>IF(OR(ISNUMBER(SEARCH("معار",I82&amp;" "&amp;K82&amp;" "&amp;M82)),ISNUMBER(SEARCH("مجاز",I82&amp;" "&amp;K82&amp;" "&amp;M82)),ISNUMBER(SEARCH("مبتعث",I82&amp;" "&amp;K82&amp;" "&amp;M82))),0,IF(M82="الحد الأدنى",3,IF(M82="50%",ROUND(IF(H82="استاذ",10,IF(H82="استاذ مشارك",12,IF(H82="استاذ مساعد",14,16)))/2,0),IF(H82="استاذ",10,IF(H82="استاذ مشارك",12,IF(H82="استاذ مساعد",14,16))))))</f>
        <v>14</v>
      </c>
      <c r="O82" t="str">
        <v>104</v>
      </c>
      <c r="P82" t="str">
        <v>على رأس عمله</v>
      </c>
      <c r="Q82" t="str">
        <v>١١-١١-١٤٣٩</v>
      </c>
    </row>
    <row r="83">
      <c r="A83">
        <v>82</v>
      </c>
      <c r="B83" t="str">
        <v>4410047</v>
      </c>
      <c r="C83" t="str">
        <v>منى النيل مصطفي مرسال</v>
      </c>
      <c r="D83" t="str">
        <v>memursal@tu.edu.sa</v>
      </c>
      <c r="E83" t="str">
        <v>567756961</v>
      </c>
      <c r="F83" t="str">
        <v>قسم الادارة</v>
      </c>
      <c r="G83" t="str">
        <v>طالبات</v>
      </c>
      <c r="H83" t="str">
        <v>استاذ مساعد</v>
      </c>
      <c r="L83" t="str">
        <v>بدون تخفيض نصاب</v>
      </c>
      <c r="M83" t="str">
        <v>بدون تخفيض نصاب</v>
      </c>
      <c r="N83">
        <f>IF(OR(ISNUMBER(SEARCH("معار",I83&amp;" "&amp;K83&amp;" "&amp;M83)),ISNUMBER(SEARCH("مجاز",I83&amp;" "&amp;K83&amp;" "&amp;M83)),ISNUMBER(SEARCH("مبتعث",I83&amp;" "&amp;K83&amp;" "&amp;M83))),0,IF(M83="الحد الأدنى",3,IF(M83="50%",ROUND(IF(H83="استاذ",10,IF(H83="استاذ مشارك",12,IF(H83="استاذ مساعد",14,16)))/2,0),IF(H83="استاذ",10,IF(H83="استاذ مشارك",12,IF(H83="استاذ مساعد",14,16))))))</f>
        <v>14</v>
      </c>
      <c r="O83" t="str">
        <v>223</v>
      </c>
      <c r="P83" t="str">
        <v>على رأس عمله</v>
      </c>
      <c r="Q83" t="str">
        <v>٢٦-٠٢-١٤٤١</v>
      </c>
    </row>
    <row r="84">
      <c r="A84">
        <v>83</v>
      </c>
      <c r="B84" t="str">
        <v>4280585</v>
      </c>
      <c r="C84" t="str">
        <v>انتصار عبدالكريم عامر القرشي</v>
      </c>
      <c r="D84" t="str">
        <v>Eaqurashi@tu.edu.sa</v>
      </c>
      <c r="E84" t="str">
        <v>540909790</v>
      </c>
      <c r="F84" t="str">
        <v>قسم الادارة</v>
      </c>
      <c r="G84" t="str">
        <v>طالبات</v>
      </c>
      <c r="H84" t="str">
        <v>محاضر</v>
      </c>
      <c r="L84" t="str">
        <v>بدون تخفيض نصاب</v>
      </c>
      <c r="M84" t="str">
        <v>بدون تخفيض نصاب</v>
      </c>
      <c r="N84">
        <f>IF(OR(ISNUMBER(SEARCH("معار",I84&amp;" "&amp;K84&amp;" "&amp;M84)),ISNUMBER(SEARCH("مجاز",I84&amp;" "&amp;K84&amp;" "&amp;M84)),ISNUMBER(SEARCH("مبتعث",I84&amp;" "&amp;K84&amp;" "&amp;M84))),0,IF(M84="الحد الأدنى",3,IF(M84="50%",ROUND(IF(H84="استاذ",10,IF(H84="استاذ مشارك",12,IF(H84="استاذ مساعد",14,16)))/2,0),IF(H84="استاذ",10,IF(H84="استاذ مشارك",12,IF(H84="استاذ مساعد",14,16))))))</f>
        <v>16</v>
      </c>
      <c r="O84" t="str">
        <v>105</v>
      </c>
      <c r="P84" t="str">
        <v>على رأس عمله</v>
      </c>
      <c r="Q84" t="str">
        <v>٢٣-٠٧-١٤٢٩</v>
      </c>
    </row>
    <row r="85">
      <c r="A85">
        <v>84</v>
      </c>
      <c r="B85" t="str">
        <v>4280662</v>
      </c>
      <c r="C85" t="str">
        <v>ايمان سليمان عبد الله العريفي</v>
      </c>
      <c r="D85" t="str">
        <v>لايوجد بريد جامعي</v>
      </c>
      <c r="E85" t="str">
        <v>555711133</v>
      </c>
      <c r="F85" t="str">
        <v>قسم الادارة</v>
      </c>
      <c r="G85" t="str">
        <v>طالبات</v>
      </c>
      <c r="H85" t="str">
        <v>محاضر</v>
      </c>
      <c r="I85" t="str">
        <v>معار</v>
      </c>
      <c r="J85" t="str">
        <v>إعارة خارجية</v>
      </c>
      <c r="L85" t="str">
        <v>معفي من الارشاد</v>
      </c>
      <c r="M85" t="str">
        <v>بدون تخفيض نصاب</v>
      </c>
      <c r="N85">
        <f>IF(OR(ISNUMBER(SEARCH("معار",I85&amp;" "&amp;K85&amp;" "&amp;M85)),ISNUMBER(SEARCH("مجاز",I85&amp;" "&amp;K85&amp;" "&amp;M85)),ISNUMBER(SEARCH("مبتعث",I85&amp;" "&amp;K85&amp;" "&amp;M85))),0,IF(M85="الحد الأدنى",3,IF(M85="50%",ROUND(IF(H85="استاذ",10,IF(H85="استاذ مشارك",12,IF(H85="استاذ مساعد",14,16)))/2,0),IF(H85="استاذ",10,IF(H85="استاذ مشارك",12,IF(H85="استاذ مساعد",14,16))))))</f>
        <v>0</v>
      </c>
      <c r="P85" t="str">
        <v>على رأس عمله</v>
      </c>
      <c r="Q85" t="str">
        <v>١٥-٠٩-١٤٢٩</v>
      </c>
    </row>
    <row r="86">
      <c r="A86">
        <v>85</v>
      </c>
      <c r="B86" t="str">
        <v>4350111</v>
      </c>
      <c r="C86" t="str">
        <v>بيان محمود عبدالله بن ظفران</v>
      </c>
      <c r="D86" t="str">
        <v>Bayan.z@tu.edu.sa</v>
      </c>
      <c r="E86" t="str">
        <v>غير متوفر</v>
      </c>
      <c r="F86" t="str">
        <v>قسم الادارة</v>
      </c>
      <c r="G86" t="str">
        <v>طالبات</v>
      </c>
      <c r="H86" t="str">
        <v>محاضر</v>
      </c>
      <c r="L86" t="str">
        <v>بدون تخفيض نصاب</v>
      </c>
      <c r="M86" t="str">
        <v>بدون تخفيض نصاب</v>
      </c>
      <c r="N86">
        <f>IF(OR(ISNUMBER(SEARCH("معار",I86&amp;" "&amp;K86&amp;" "&amp;M86)),ISNUMBER(SEARCH("مجاز",I86&amp;" "&amp;K86&amp;" "&amp;M86)),ISNUMBER(SEARCH("مبتعث",I86&amp;" "&amp;K86&amp;" "&amp;M86))),0,IF(M86="الحد الأدنى",3,IF(M86="50%",ROUND(IF(H86="استاذ",10,IF(H86="استاذ مشارك",12,IF(H86="استاذ مساعد",14,16)))/2,0),IF(H86="استاذ",10,IF(H86="استاذ مشارك",12,IF(H86="استاذ مساعد",14,16))))))</f>
        <v>16</v>
      </c>
      <c r="O86" t="str">
        <v>227</v>
      </c>
      <c r="P86" t="str">
        <v>على رأس عمله</v>
      </c>
      <c r="Q86" t="str">
        <v>٢٩-١١-١٤٣٥</v>
      </c>
    </row>
    <row r="87">
      <c r="A87">
        <v>86</v>
      </c>
      <c r="B87" t="str">
        <v>4390204</v>
      </c>
      <c r="C87" t="str">
        <v>البندري فهد عوضه آل سعييد الشهراني</v>
      </c>
      <c r="D87" t="str">
        <v>afshahrni@tu.edu.sa</v>
      </c>
      <c r="E87" t="str">
        <v>566811636</v>
      </c>
      <c r="F87" t="str">
        <v>قسم الادارة</v>
      </c>
      <c r="G87" t="str">
        <v>طالبات</v>
      </c>
      <c r="H87" t="str">
        <v>محاضر</v>
      </c>
      <c r="L87" t="str">
        <v>بدون تخفيض نصاب</v>
      </c>
      <c r="M87" t="str">
        <v>بدون تخفيض نصاب</v>
      </c>
      <c r="N87">
        <f>IF(OR(ISNUMBER(SEARCH("معار",I87&amp;" "&amp;K87&amp;" "&amp;M87)),ISNUMBER(SEARCH("مجاز",I87&amp;" "&amp;K87&amp;" "&amp;M87)),ISNUMBER(SEARCH("مبتعث",I87&amp;" "&amp;K87&amp;" "&amp;M87))),0,IF(M87="الحد الأدنى",3,IF(M87="50%",ROUND(IF(H87="استاذ",10,IF(H87="استاذ مشارك",12,IF(H87="استاذ مساعد",14,16)))/2,0),IF(H87="استاذ",10,IF(H87="استاذ مشارك",12,IF(H87="استاذ مساعد",14,16))))))</f>
        <v>16</v>
      </c>
      <c r="O87" t="str">
        <v>121</v>
      </c>
      <c r="P87" t="str">
        <v>على رأس عمله</v>
      </c>
      <c r="Q87" t="str">
        <v>١١-١١-١٤٣٩</v>
      </c>
    </row>
    <row r="88">
      <c r="A88">
        <v>87</v>
      </c>
      <c r="B88" t="str">
        <v>4390243</v>
      </c>
      <c r="C88" t="str">
        <v>ندى سعد مصلح الحارثي</v>
      </c>
      <c r="D88" t="str">
        <v>nsharthi@tu.edu.sa</v>
      </c>
      <c r="E88" t="str">
        <v>555688587</v>
      </c>
      <c r="F88" t="str">
        <v>قسم الادارة</v>
      </c>
      <c r="G88" t="str">
        <v>طالبات</v>
      </c>
      <c r="H88" t="str">
        <v>محاضر</v>
      </c>
      <c r="L88" t="str">
        <v>بدون تخفيض نصاب</v>
      </c>
      <c r="M88" t="str">
        <v>بدون تخفيض نصاب</v>
      </c>
      <c r="N88">
        <f>IF(OR(ISNUMBER(SEARCH("معار",I88&amp;" "&amp;K88&amp;" "&amp;M88)),ISNUMBER(SEARCH("مجاز",I88&amp;" "&amp;K88&amp;" "&amp;M88)),ISNUMBER(SEARCH("مبتعث",I88&amp;" "&amp;K88&amp;" "&amp;M88))),0,IF(M88="الحد الأدنى",3,IF(M88="50%",ROUND(IF(H88="استاذ",10,IF(H88="استاذ مشارك",12,IF(H88="استاذ مساعد",14,16)))/2,0),IF(H88="استاذ",10,IF(H88="استاذ مشارك",12,IF(H88="استاذ مساعد",14,16))))))</f>
        <v>16</v>
      </c>
      <c r="O88" t="str">
        <v>225</v>
      </c>
      <c r="P88" t="str">
        <v>على رأس عمله</v>
      </c>
      <c r="Q88" t="str">
        <v>١٩-١١-١٤٣٩</v>
      </c>
    </row>
    <row r="89">
      <c r="A89">
        <v>88</v>
      </c>
      <c r="B89" t="str">
        <v>4310494</v>
      </c>
      <c r="C89" t="str">
        <v>اماني ياسين مسفر الخديدي</v>
      </c>
      <c r="D89" t="str">
        <v>y.amany@tu.edu.sa</v>
      </c>
      <c r="E89" t="str">
        <v>غير متوفر</v>
      </c>
      <c r="F89" t="str">
        <v>قسم الادارة</v>
      </c>
      <c r="G89" t="str">
        <v>طالبات</v>
      </c>
      <c r="H89" t="str">
        <v>معيد</v>
      </c>
      <c r="L89" t="str">
        <v>بدون تخفيض نصاب</v>
      </c>
      <c r="M89" t="str">
        <v>بدون تخفيض نصاب</v>
      </c>
      <c r="N89">
        <f>IF(OR(ISNUMBER(SEARCH("معار",I89&amp;" "&amp;K89&amp;" "&amp;M89)),ISNUMBER(SEARCH("مجاز",I89&amp;" "&amp;K89&amp;" "&amp;M89)),ISNUMBER(SEARCH("مبتعث",I89&amp;" "&amp;K89&amp;" "&amp;M89))),0,IF(M89="الحد الأدنى",3,IF(M89="50%",ROUND(IF(H89="استاذ",10,IF(H89="استاذ مشارك",12,IF(H89="استاذ مساعد",14,16)))/2,0),IF(H89="استاذ",10,IF(H89="استاذ مشارك",12,IF(H89="استاذ مساعد",14,16))))))</f>
        <v>16</v>
      </c>
      <c r="O89" t="str">
        <v>121</v>
      </c>
      <c r="P89" t="str">
        <v>على رأس عمله</v>
      </c>
      <c r="Q89" t="str">
        <v>١٩-١١-١٤٣١</v>
      </c>
    </row>
    <row r="90">
      <c r="A90">
        <v>89</v>
      </c>
      <c r="B90" t="str">
        <v>4310519</v>
      </c>
      <c r="C90" t="str">
        <v>امنة حماد محمود الطويرقي</v>
      </c>
      <c r="D90" t="str">
        <v>h.amanh@tu.edu.sa</v>
      </c>
      <c r="E90" t="str">
        <v>508915311</v>
      </c>
      <c r="F90" t="str">
        <v>قسم الادارة</v>
      </c>
      <c r="G90" t="str">
        <v>طالبات</v>
      </c>
      <c r="H90" t="str">
        <v>معيد</v>
      </c>
      <c r="L90" t="str">
        <v>بدون تخفيض نصاب</v>
      </c>
      <c r="M90" t="str">
        <v>بدون تخفيض نصاب</v>
      </c>
      <c r="N90">
        <f>IF(OR(ISNUMBER(SEARCH("معار",I90&amp;" "&amp;K90&amp;" "&amp;M90)),ISNUMBER(SEARCH("مجاز",I90&amp;" "&amp;K90&amp;" "&amp;M90)),ISNUMBER(SEARCH("مبتعث",I90&amp;" "&amp;K90&amp;" "&amp;M90))),0,IF(M90="الحد الأدنى",3,IF(M90="50%",ROUND(IF(H90="استاذ",10,IF(H90="استاذ مشارك",12,IF(H90="استاذ مساعد",14,16)))/2,0),IF(H90="استاذ",10,IF(H90="استاذ مشارك",12,IF(H90="استاذ مساعد",14,16))))))</f>
        <v>16</v>
      </c>
      <c r="O90" t="str">
        <v>224</v>
      </c>
      <c r="P90" t="str">
        <v>على رأس عمله</v>
      </c>
      <c r="Q90" t="str">
        <v>٢٤-١١-١٤٣١</v>
      </c>
    </row>
    <row r="91">
      <c r="A91">
        <v>90</v>
      </c>
      <c r="B91" t="str">
        <v>4350146</v>
      </c>
      <c r="C91" t="str">
        <v>غيداء غازي عايض الثبيتي</v>
      </c>
      <c r="D91" t="str">
        <v>Gh.ab39@tu.edu.sa</v>
      </c>
      <c r="E91" t="str">
        <v>549339127</v>
      </c>
      <c r="F91" t="str">
        <v>قسم الادارة</v>
      </c>
      <c r="G91" t="str">
        <v>طالبات</v>
      </c>
      <c r="H91" t="str">
        <v>معيد</v>
      </c>
      <c r="L91" t="str">
        <v>بدون تخفيض نصاب</v>
      </c>
      <c r="M91" t="str">
        <v>بدون تخفيض نصاب</v>
      </c>
      <c r="N91">
        <f>IF(OR(ISNUMBER(SEARCH("معار",I91&amp;" "&amp;K91&amp;" "&amp;M91)),ISNUMBER(SEARCH("مجاز",I91&amp;" "&amp;K91&amp;" "&amp;M91)),ISNUMBER(SEARCH("مبتعث",I91&amp;" "&amp;K91&amp;" "&amp;M91))),0,IF(M91="الحد الأدنى",3,IF(M91="50%",ROUND(IF(H91="استاذ",10,IF(H91="استاذ مشارك",12,IF(H91="استاذ مساعد",14,16)))/2,0),IF(H91="استاذ",10,IF(H91="استاذ مشارك",12,IF(H91="استاذ مساعد",14,16))))))</f>
        <v>16</v>
      </c>
      <c r="O91" t="str">
        <v>225</v>
      </c>
      <c r="P91" t="str">
        <v>على رأس عمله</v>
      </c>
      <c r="Q91" t="str">
        <v>١-١٢-١٤٣٥</v>
      </c>
    </row>
    <row r="92">
      <c r="A92">
        <v>91</v>
      </c>
      <c r="B92" t="str">
        <v>4350147</v>
      </c>
      <c r="C92" t="str">
        <v>هناء محمد سعيد سويد</v>
      </c>
      <c r="D92" t="str">
        <v>Hmsuwayyid@tu.edu.sa</v>
      </c>
      <c r="E92" t="str">
        <v>504351089</v>
      </c>
      <c r="F92" t="str">
        <v>قسم الادارة</v>
      </c>
      <c r="G92" t="str">
        <v>طالبات</v>
      </c>
      <c r="H92" t="str">
        <v>معيد</v>
      </c>
      <c r="L92" t="str">
        <v>بدون تخفيض نصاب</v>
      </c>
      <c r="M92" t="str">
        <v>بدون تخفيض نصاب</v>
      </c>
      <c r="N92">
        <f>IF(OR(ISNUMBER(SEARCH("معار",I92&amp;" "&amp;K92&amp;" "&amp;M92)),ISNUMBER(SEARCH("مجاز",I92&amp;" "&amp;K92&amp;" "&amp;M92)),ISNUMBER(SEARCH("مبتعث",I92&amp;" "&amp;K92&amp;" "&amp;M92))),0,IF(M92="الحد الأدنى",3,IF(M92="50%",ROUND(IF(H92="استاذ",10,IF(H92="استاذ مشارك",12,IF(H92="استاذ مساعد",14,16)))/2,0),IF(H92="استاذ",10,IF(H92="استاذ مشارك",12,IF(H92="استاذ مساعد",14,16))))))</f>
        <v>16</v>
      </c>
      <c r="P92" t="str">
        <v>على رأس عمله</v>
      </c>
      <c r="Q92" t="str">
        <v>١-١٢-١٤٣٥</v>
      </c>
    </row>
    <row r="93">
      <c r="A93">
        <v>92</v>
      </c>
      <c r="B93" t="str">
        <v>4350179</v>
      </c>
      <c r="C93" t="str">
        <v>ابرار محسن جميل الثمالي</v>
      </c>
      <c r="D93" t="str">
        <v>amthamali@tu.edu.sa</v>
      </c>
      <c r="E93" t="str">
        <v>555586186</v>
      </c>
      <c r="F93" t="str">
        <v>قسم الادارة</v>
      </c>
      <c r="G93" t="str">
        <v>طالبات</v>
      </c>
      <c r="H93" t="str">
        <v>معيد</v>
      </c>
      <c r="L93" t="str">
        <v>بدون تخفيض نصاب</v>
      </c>
      <c r="M93" t="str">
        <v>بدون تخفيض نصاب</v>
      </c>
      <c r="N93">
        <f>IF(OR(ISNUMBER(SEARCH("معار",I93&amp;" "&amp;K93&amp;" "&amp;M93)),ISNUMBER(SEARCH("مجاز",I93&amp;" "&amp;K93&amp;" "&amp;M93)),ISNUMBER(SEARCH("مبتعث",I93&amp;" "&amp;K93&amp;" "&amp;M93))),0,IF(M93="الحد الأدنى",3,IF(M93="50%",ROUND(IF(H93="استاذ",10,IF(H93="استاذ مشارك",12,IF(H93="استاذ مساعد",14,16)))/2,0),IF(H93="استاذ",10,IF(H93="استاذ مشارك",12,IF(H93="استاذ مساعد",14,16))))))</f>
        <v>16</v>
      </c>
      <c r="O93" t="str">
        <v>227</v>
      </c>
      <c r="P93" t="str">
        <v>على رأس عمله</v>
      </c>
      <c r="Q93" t="str">
        <v>١٨-١٢-١٤٣٥</v>
      </c>
    </row>
    <row r="94">
      <c r="A94">
        <v>93</v>
      </c>
      <c r="B94" t="str">
        <v>4390053</v>
      </c>
      <c r="C94" t="str">
        <v>رزان علي محمد باعيسى</v>
      </c>
      <c r="D94" t="str">
        <v>rabaeisa@tu.edu.sa</v>
      </c>
      <c r="E94" t="str">
        <v>559250897</v>
      </c>
      <c r="F94" t="str">
        <v>قسم الادارة</v>
      </c>
      <c r="G94" t="str">
        <v>طالبات</v>
      </c>
      <c r="H94" t="str">
        <v>معيد</v>
      </c>
      <c r="L94" t="str">
        <v>بدون تخفيض نصاب</v>
      </c>
      <c r="M94" t="str">
        <v>بدون تخفيض نصاب</v>
      </c>
      <c r="N94">
        <f>IF(OR(ISNUMBER(SEARCH("معار",I94&amp;" "&amp;K94&amp;" "&amp;M94)),ISNUMBER(SEARCH("مجاز",I94&amp;" "&amp;K94&amp;" "&amp;M94)),ISNUMBER(SEARCH("مبتعث",I94&amp;" "&amp;K94&amp;" "&amp;M94))),0,IF(M94="الحد الأدنى",3,IF(M94="50%",ROUND(IF(H94="استاذ",10,IF(H94="استاذ مشارك",12,IF(H94="استاذ مساعد",14,16)))/2,0),IF(H94="استاذ",10,IF(H94="استاذ مشارك",12,IF(H94="استاذ مساعد",14,16))))))</f>
        <v>16</v>
      </c>
      <c r="O94" t="str">
        <v>121</v>
      </c>
      <c r="P94" t="str">
        <v>على رأس عمله</v>
      </c>
      <c r="Q94" t="str">
        <v>٢٣-٠٢-١٤٣٩</v>
      </c>
    </row>
    <row r="95">
      <c r="A95">
        <v>94</v>
      </c>
      <c r="B95" t="str">
        <v>4390114</v>
      </c>
      <c r="C95" t="str">
        <v>خلود احمد عيظه آل عصيدان الزهراني</v>
      </c>
      <c r="D95" t="str">
        <v>kazahrani@tu.edu.sa</v>
      </c>
      <c r="E95" t="str">
        <v>504179719</v>
      </c>
      <c r="F95" t="str">
        <v>قسم الادارة</v>
      </c>
      <c r="G95" t="str">
        <v>طالبات</v>
      </c>
      <c r="H95" t="str">
        <v>معيد</v>
      </c>
      <c r="L95" t="str">
        <v>بدون تخفيض نصاب</v>
      </c>
      <c r="M95" t="str">
        <v>بدون تخفيض نصاب</v>
      </c>
      <c r="N95">
        <f>IF(OR(ISNUMBER(SEARCH("معار",I95&amp;" "&amp;K95&amp;" "&amp;M95)),ISNUMBER(SEARCH("مجاز",I95&amp;" "&amp;K95&amp;" "&amp;M95)),ISNUMBER(SEARCH("مبتعث",I95&amp;" "&amp;K95&amp;" "&amp;M95))),0,IF(M95="الحد الأدنى",3,IF(M95="50%",ROUND(IF(H95="استاذ",10,IF(H95="استاذ مشارك",12,IF(H95="استاذ مساعد",14,16)))/2,0),IF(H95="استاذ",10,IF(H95="استاذ مشارك",12,IF(H95="استاذ مساعد",14,16))))))</f>
        <v>16</v>
      </c>
      <c r="O95" t="str">
        <v>225</v>
      </c>
      <c r="P95" t="str">
        <v>على رأس عمله</v>
      </c>
      <c r="Q95" t="str">
        <v>٢٥-٠٥-١٤٣٩</v>
      </c>
    </row>
    <row r="96">
      <c r="A96">
        <v>95</v>
      </c>
      <c r="B96">
        <v>4310115</v>
      </c>
      <c r="C96" t="str">
        <v>رقية بدوي أحمد آل أحمد الزبيدي</v>
      </c>
      <c r="F96" t="str">
        <v>قسم الادارة</v>
      </c>
      <c r="G96" t="str">
        <v>طالبات</v>
      </c>
      <c r="H96" t="str">
        <v>معيد</v>
      </c>
      <c r="L96" t="str">
        <v>بدون تخفيض نصاب</v>
      </c>
      <c r="M96" t="str">
        <v>بدون تخفيض نصاب</v>
      </c>
      <c r="N96">
        <f>IF(OR(ISNUMBER(SEARCH("معار",I96&amp;" "&amp;K96&amp;" "&amp;M96)),ISNUMBER(SEARCH("مجاز",I96&amp;" "&amp;K96&amp;" "&amp;M96)),ISNUMBER(SEARCH("مبتعث",I96&amp;" "&amp;K96&amp;" "&amp;M96))),0,IF(M96="الحد الأدنى",3,IF(M96="50%",ROUND(IF(H96="استاذ",10,IF(H96="استاذ مشارك",12,IF(H96="استاذ مساعد",14,16)))/2,0),IF(H96="استاذ",10,IF(H96="استاذ مشارك",12,IF(H96="استاذ مساعد",14,16))))))</f>
        <v>16</v>
      </c>
      <c r="O96" t="str">
        <v>223</v>
      </c>
      <c r="P96" t="str">
        <v>على رأس عمله</v>
      </c>
      <c r="Q96" t="str">
        <v xml:space="preserve"> ١-٠٣-١٤٣١</v>
      </c>
    </row>
    <row r="97">
      <c r="A97">
        <v>96</v>
      </c>
      <c r="B97" t="str">
        <v>4270224</v>
      </c>
      <c r="C97" t="str">
        <v>هند عبدالله عبدالمحسن الرقيب</v>
      </c>
      <c r="D97" t="str">
        <v>h.alreqib@tu.edu.sa</v>
      </c>
      <c r="E97" t="str">
        <v>547042776</v>
      </c>
      <c r="F97" t="str">
        <v>قسم المحاسبة</v>
      </c>
      <c r="G97" t="str">
        <v>طالبات</v>
      </c>
      <c r="H97" t="str">
        <v>استاذ مشارك</v>
      </c>
      <c r="I97" t="str">
        <v>عميد كلية</v>
      </c>
      <c r="J97" t="str">
        <v>عميد كلية إدارة الأعمال</v>
      </c>
      <c r="L97" t="str">
        <v>معفي من الارشاد</v>
      </c>
      <c r="M97" t="str">
        <v>الحد الأدنى</v>
      </c>
      <c r="N97">
        <f>IF(OR(ISNUMBER(SEARCH("معار",I97&amp;" "&amp;K97&amp;" "&amp;M97)),ISNUMBER(SEARCH("مجاز",I97&amp;" "&amp;K97&amp;" "&amp;M97)),ISNUMBER(SEARCH("مبتعث",I97&amp;" "&amp;K97&amp;" "&amp;M97))),0,IF(M97="الحد الأدنى",3,IF(M97="50%",ROUND(IF(H97="استاذ",10,IF(H97="استاذ مشارك",12,IF(H97="استاذ مساعد",14,16)))/2,0),IF(H97="استاذ",10,IF(H97="استاذ مشارك",12,IF(H97="استاذ مساعد",14,16))))))</f>
        <v>3</v>
      </c>
      <c r="O97" t="str">
        <v>39</v>
      </c>
      <c r="P97" t="str">
        <v>على رأس عمله</v>
      </c>
      <c r="Q97" t="str">
        <v>١٤-٠٨-١٤٢٨</v>
      </c>
    </row>
    <row r="98">
      <c r="A98">
        <v>97</v>
      </c>
      <c r="B98" t="str">
        <v>4400233</v>
      </c>
      <c r="C98" t="str">
        <v>حفصة محمد ابراهيم محمد</v>
      </c>
      <c r="D98" t="str">
        <v>hmohammed@tu.edu.sa</v>
      </c>
      <c r="E98" t="str">
        <v>506398852</v>
      </c>
      <c r="F98" t="str">
        <v>قسم المحاسبة</v>
      </c>
      <c r="G98" t="str">
        <v>طالبات</v>
      </c>
      <c r="H98" t="str">
        <v>استاذ مساعد</v>
      </c>
      <c r="I98" t="str">
        <v>امين قسم</v>
      </c>
      <c r="J98" t="str">
        <v>أمينة قسم المحاسبة</v>
      </c>
      <c r="L98" t="str">
        <v>حالات خاصة</v>
      </c>
      <c r="M98" t="str">
        <v>بدون تخفيض نصاب</v>
      </c>
      <c r="N98">
        <f>IF(OR(ISNUMBER(SEARCH("معار",I98&amp;" "&amp;K98&amp;" "&amp;M98)),ISNUMBER(SEARCH("مجاز",I98&amp;" "&amp;K98&amp;" "&amp;M98)),ISNUMBER(SEARCH("مبتعث",I98&amp;" "&amp;K98&amp;" "&amp;M98))),0,IF(M98="الحد الأدنى",3,IF(M98="50%",ROUND(IF(H98="استاذ",10,IF(H98="استاذ مشارك",12,IF(H98="استاذ مساعد",14,16)))/2,0),IF(H98="استاذ",10,IF(H98="استاذ مشارك",12,IF(H98="استاذ مساعد",14,16))))))</f>
        <v>14</v>
      </c>
      <c r="O98" t="str">
        <v>210</v>
      </c>
      <c r="P98" t="str">
        <v>على رأس عمله</v>
      </c>
      <c r="Q98" t="str">
        <v>١٧-١٢-١٤٤٠</v>
      </c>
    </row>
    <row r="99">
      <c r="A99">
        <v>98</v>
      </c>
      <c r="B99" t="str">
        <v>4400238</v>
      </c>
      <c r="C99" t="str">
        <v>السارة سعد علي احمد</v>
      </c>
      <c r="D99" t="str">
        <v>asahmad@tu.edu.sa</v>
      </c>
      <c r="E99" t="str">
        <v>550328816</v>
      </c>
      <c r="F99" t="str">
        <v>قسم المحاسبة</v>
      </c>
      <c r="G99" t="str">
        <v>طالبات</v>
      </c>
      <c r="H99" t="str">
        <v>استاذ مساعد</v>
      </c>
      <c r="I99" t="str">
        <v>منسق وحدة</v>
      </c>
      <c r="J99" t="str">
        <v>منسقة قسم المحاسبة لوحدة الإرشاد الأكاديمي والخريجين</v>
      </c>
      <c r="L99" t="str">
        <v>50%</v>
      </c>
      <c r="M99" t="str">
        <v>بدون تخفيض نصاب</v>
      </c>
      <c r="N99">
        <f>IF(OR(ISNUMBER(SEARCH("معار",I99&amp;" "&amp;K99&amp;" "&amp;M99)),ISNUMBER(SEARCH("مجاز",I99&amp;" "&amp;K99&amp;" "&amp;M99)),ISNUMBER(SEARCH("مبتعث",I99&amp;" "&amp;K99&amp;" "&amp;M99))),0,IF(M99="الحد الأدنى",3,IF(M99="50%",ROUND(IF(H99="استاذ",10,IF(H99="استاذ مشارك",12,IF(H99="استاذ مساعد",14,16)))/2,0),IF(H99="استاذ",10,IF(H99="استاذ مشارك",12,IF(H99="استاذ مساعد",14,16))))))</f>
        <v>14</v>
      </c>
      <c r="O99" t="str">
        <v>208</v>
      </c>
      <c r="P99" t="str">
        <v>على رأس عمله</v>
      </c>
      <c r="Q99" t="str">
        <v>٢٦-١٢-١٤٤٠</v>
      </c>
    </row>
    <row r="100">
      <c r="A100">
        <v>99</v>
      </c>
      <c r="B100" t="str">
        <v>4310093</v>
      </c>
      <c r="C100" t="str">
        <v>منال محمد سالم العيدروس</v>
      </c>
      <c r="D100" t="str">
        <v>mm.alidarous@tu.edu.sa</v>
      </c>
      <c r="E100" t="str">
        <v>551133280</v>
      </c>
      <c r="F100" t="str">
        <v>قسم المحاسبة</v>
      </c>
      <c r="G100" t="str">
        <v>طالبات</v>
      </c>
      <c r="H100" t="str">
        <v>استاذ مشارك</v>
      </c>
      <c r="L100" t="str">
        <v>بدون تخفيض نصاب</v>
      </c>
      <c r="M100" t="str">
        <v>بدون تخفيض نصاب</v>
      </c>
      <c r="N100">
        <f>IF(OR(ISNUMBER(SEARCH("معار",I100&amp;" "&amp;K100&amp;" "&amp;M100)),ISNUMBER(SEARCH("مجاز",I100&amp;" "&amp;K100&amp;" "&amp;M100)),ISNUMBER(SEARCH("مبتعث",I100&amp;" "&amp;K100&amp;" "&amp;M100))),0,IF(M100="الحد الأدنى",3,IF(M100="50%",ROUND(IF(H100="استاذ",10,IF(H100="استاذ مشارك",12,IF(H100="استاذ مساعد",14,16)))/2,0),IF(H100="استاذ",10,IF(H100="استاذ مشارك",12,IF(H100="استاذ مساعد",14,16))))))</f>
        <v>12</v>
      </c>
      <c r="O100" t="str">
        <v>207</v>
      </c>
      <c r="P100" t="str">
        <v>على رأس عمله</v>
      </c>
      <c r="Q100" t="str">
        <v>٢-٠٣-١٤٣١</v>
      </c>
    </row>
    <row r="101">
      <c r="A101">
        <v>100</v>
      </c>
      <c r="B101" t="str">
        <v>4320173</v>
      </c>
      <c r="C101" t="str">
        <v>رشا عبدالرحمن اسحاق فلاته</v>
      </c>
      <c r="D101" t="str">
        <v>rasha@tu.edu.sa</v>
      </c>
      <c r="E101" t="str">
        <v>558856620</v>
      </c>
      <c r="F101" t="str">
        <v>قسم المحاسبة</v>
      </c>
      <c r="G101" t="str">
        <v>طالبات</v>
      </c>
      <c r="H101" t="str">
        <v>استاذ مشارك</v>
      </c>
      <c r="L101" t="str">
        <v>بدون تخفيض نصاب</v>
      </c>
      <c r="M101" t="str">
        <v>بدون تخفيض نصاب</v>
      </c>
      <c r="N101">
        <f>IF(OR(ISNUMBER(SEARCH("معار",I101&amp;" "&amp;K101&amp;" "&amp;M101)),ISNUMBER(SEARCH("مجاز",I101&amp;" "&amp;K101&amp;" "&amp;M101)),ISNUMBER(SEARCH("مبتعث",I101&amp;" "&amp;K101&amp;" "&amp;M101))),0,IF(M101="الحد الأدنى",3,IF(M101="50%",ROUND(IF(H101="استاذ",10,IF(H101="استاذ مشارك",12,IF(H101="استاذ مساعد",14,16)))/2,0),IF(H101="استاذ",10,IF(H101="استاذ مشارك",12,IF(H101="استاذ مساعد",14,16))))))</f>
        <v>12</v>
      </c>
      <c r="O101" t="str">
        <v>209</v>
      </c>
      <c r="P101" t="str">
        <v>على رأس عمله</v>
      </c>
      <c r="Q101" t="str">
        <v>٢٧-٠٧-١٤٣٢</v>
      </c>
    </row>
    <row r="102">
      <c r="A102">
        <v>101</v>
      </c>
      <c r="B102" t="str">
        <v>4280635</v>
      </c>
      <c r="C102" t="str">
        <v>نوير منير جميل القثامي</v>
      </c>
      <c r="D102" t="str">
        <v>Nwir.m@tu.edu.sa</v>
      </c>
      <c r="E102" t="str">
        <v>553422477</v>
      </c>
      <c r="F102" t="str">
        <v>قسم المحاسبة</v>
      </c>
      <c r="G102" t="str">
        <v>طالبات</v>
      </c>
      <c r="H102" t="str">
        <v>استاذ مساعد</v>
      </c>
      <c r="L102" t="str">
        <v>بدون تخفيض نصاب</v>
      </c>
      <c r="M102" t="str">
        <v>بدون تخفيض نصاب</v>
      </c>
      <c r="N102">
        <f>IF(OR(ISNUMBER(SEARCH("معار",I102&amp;" "&amp;K102&amp;" "&amp;M102)),ISNUMBER(SEARCH("مجاز",I102&amp;" "&amp;K102&amp;" "&amp;M102)),ISNUMBER(SEARCH("مبتعث",I102&amp;" "&amp;K102&amp;" "&amp;M102))),0,IF(M102="الحد الأدنى",3,IF(M102="50%",ROUND(IF(H102="استاذ",10,IF(H102="استاذ مشارك",12,IF(H102="استاذ مساعد",14,16)))/2,0),IF(H102="استاذ",10,IF(H102="استاذ مشارك",12,IF(H102="استاذ مساعد",14,16))))))</f>
        <v>14</v>
      </c>
      <c r="O102" t="str">
        <v>207</v>
      </c>
      <c r="P102" t="str">
        <v>على رأس عمله</v>
      </c>
      <c r="Q102" t="str">
        <v>١٨-٠٨-١٤٢٩</v>
      </c>
    </row>
    <row r="103">
      <c r="A103">
        <v>102</v>
      </c>
      <c r="B103" t="str">
        <v>4380007</v>
      </c>
      <c r="C103" t="str">
        <v>رانيا سلطان محمد عبدالحميد</v>
      </c>
      <c r="D103" t="str">
        <v>Rania.s@tu.edu.sa</v>
      </c>
      <c r="E103" t="str">
        <v>551742143</v>
      </c>
      <c r="F103" t="str">
        <v>قسم المحاسبة</v>
      </c>
      <c r="G103" t="str">
        <v>طالبات</v>
      </c>
      <c r="H103" t="str">
        <v>استاذ مساعد</v>
      </c>
      <c r="L103" t="str">
        <v>بدون تخفيض نصاب</v>
      </c>
      <c r="M103" t="str">
        <v>بدون تخفيض نصاب</v>
      </c>
      <c r="N103">
        <f>IF(OR(ISNUMBER(SEARCH("معار",I103&amp;" "&amp;K103&amp;" "&amp;M103)),ISNUMBER(SEARCH("مجاز",I103&amp;" "&amp;K103&amp;" "&amp;M103)),ISNUMBER(SEARCH("مبتعث",I103&amp;" "&amp;K103&amp;" "&amp;M103))),0,IF(M103="الحد الأدنى",3,IF(M103="50%",ROUND(IF(H103="استاذ",10,IF(H103="استاذ مشارك",12,IF(H103="استاذ مساعد",14,16)))/2,0),IF(H103="استاذ",10,IF(H103="استاذ مشارك",12,IF(H103="استاذ مساعد",14,16))))))</f>
        <v>14</v>
      </c>
      <c r="O103" t="str">
        <v>208</v>
      </c>
      <c r="P103" t="str">
        <v>على رأس عمله</v>
      </c>
      <c r="Q103" t="str">
        <v>١٠-٠٢-١٤٣٨</v>
      </c>
    </row>
    <row r="104">
      <c r="A104">
        <v>103</v>
      </c>
      <c r="B104" t="str">
        <v>4400207</v>
      </c>
      <c r="C104" t="str">
        <v>درية بله احمد مهدي</v>
      </c>
      <c r="D104" t="str">
        <v>dbmahdi@tu.edu.sa</v>
      </c>
      <c r="E104" t="str">
        <v>531064035</v>
      </c>
      <c r="F104" t="str">
        <v>قسم المحاسبة</v>
      </c>
      <c r="G104" t="str">
        <v>طالبات</v>
      </c>
      <c r="H104" t="str">
        <v>استاذ مساعد</v>
      </c>
      <c r="L104" t="str">
        <v>بدون تخفيض نصاب</v>
      </c>
      <c r="M104" t="str">
        <v>بدون تخفيض نصاب</v>
      </c>
      <c r="N104">
        <f>IF(OR(ISNUMBER(SEARCH("معار",I104&amp;" "&amp;K104&amp;" "&amp;M104)),ISNUMBER(SEARCH("مجاز",I104&amp;" "&amp;K104&amp;" "&amp;M104)),ISNUMBER(SEARCH("مبتعث",I104&amp;" "&amp;K104&amp;" "&amp;M104))),0,IF(M104="الحد الأدنى",3,IF(M104="50%",ROUND(IF(H104="استاذ",10,IF(H104="استاذ مشارك",12,IF(H104="استاذ مساعد",14,16)))/2,0),IF(H104="استاذ",10,IF(H104="استاذ مشارك",12,IF(H104="استاذ مساعد",14,16))))))</f>
        <v>14</v>
      </c>
      <c r="O104" t="str">
        <v>211</v>
      </c>
      <c r="P104" t="str">
        <v>على رأس عمله</v>
      </c>
      <c r="Q104" t="str">
        <v>١٧-١٢-١٤٤٠</v>
      </c>
    </row>
    <row r="105">
      <c r="A105">
        <v>104</v>
      </c>
      <c r="B105" t="str">
        <v>4400251</v>
      </c>
      <c r="C105" t="str">
        <v>ريم احمد محمد علي</v>
      </c>
      <c r="D105" t="str">
        <v>rmali@tu.edu.sa</v>
      </c>
      <c r="E105" t="str">
        <v>552038608</v>
      </c>
      <c r="F105" t="str">
        <v>قسم المحاسبة</v>
      </c>
      <c r="G105" t="str">
        <v>طالبات</v>
      </c>
      <c r="H105" t="str">
        <v>استاذ مساعد</v>
      </c>
      <c r="L105" t="str">
        <v>بدون تخفيض نصاب</v>
      </c>
      <c r="M105" t="str">
        <v>بدون تخفيض نصاب</v>
      </c>
      <c r="N105">
        <f>IF(OR(ISNUMBER(SEARCH("معار",I105&amp;" "&amp;K105&amp;" "&amp;M105)),ISNUMBER(SEARCH("مجاز",I105&amp;" "&amp;K105&amp;" "&amp;M105)),ISNUMBER(SEARCH("مبتعث",I105&amp;" "&amp;K105&amp;" "&amp;M105))),0,IF(M105="الحد الأدنى",3,IF(M105="50%",ROUND(IF(H105="استاذ",10,IF(H105="استاذ مشارك",12,IF(H105="استاذ مساعد",14,16)))/2,0),IF(H105="استاذ",10,IF(H105="استاذ مشارك",12,IF(H105="استاذ مساعد",14,16))))))</f>
        <v>14</v>
      </c>
      <c r="O105" t="str">
        <v>208</v>
      </c>
      <c r="P105" t="str">
        <v>على رأس عمله</v>
      </c>
      <c r="Q105" t="str">
        <v>٢٩-١٢-١٤٤٠</v>
      </c>
    </row>
    <row r="106">
      <c r="A106">
        <v>105</v>
      </c>
      <c r="B106" t="str">
        <v>4280536</v>
      </c>
      <c r="C106" t="str">
        <v>هند عبدالرازق مرزوق الطلحي</v>
      </c>
      <c r="D106" t="str">
        <v>hatalhi@tu.edu.sa</v>
      </c>
      <c r="E106" t="str">
        <v>536610064</v>
      </c>
      <c r="F106" t="str">
        <v>قسم المحاسبة</v>
      </c>
      <c r="G106" t="str">
        <v>طالبات</v>
      </c>
      <c r="H106" t="str">
        <v>معيد</v>
      </c>
      <c r="L106" t="str">
        <v>بدون تخفيض نصاب</v>
      </c>
      <c r="M106" t="str">
        <v>بدون تخفيض نصاب</v>
      </c>
      <c r="N106">
        <f>IF(OR(ISNUMBER(SEARCH("معار",I106&amp;" "&amp;K106&amp;" "&amp;M106)),ISNUMBER(SEARCH("مجاز",I106&amp;" "&amp;K106&amp;" "&amp;M106)),ISNUMBER(SEARCH("مبتعث",I106&amp;" "&amp;K106&amp;" "&amp;M106))),0,IF(M106="الحد الأدنى",3,IF(M106="50%",ROUND(IF(H106="استاذ",10,IF(H106="استاذ مشارك",12,IF(H106="استاذ مساعد",14,16)))/2,0),IF(H106="استاذ",10,IF(H106="استاذ مشارك",12,IF(H106="استاذ مساعد",14,16))))))</f>
        <v>16</v>
      </c>
      <c r="O106" t="str">
        <v>206</v>
      </c>
      <c r="P106" t="str">
        <v>على رأس عمله</v>
      </c>
      <c r="Q106" t="str">
        <v>٢٣-٠٧-١٤٢٩</v>
      </c>
    </row>
    <row r="107">
      <c r="A107">
        <v>106</v>
      </c>
      <c r="B107" t="str">
        <v>4280594</v>
      </c>
      <c r="C107" t="str">
        <v>اميره سالم غانم اليحيوي</v>
      </c>
      <c r="D107" t="str">
        <v>amerh@tu.edu.sa</v>
      </c>
      <c r="E107" t="str">
        <v>545197924</v>
      </c>
      <c r="F107" t="str">
        <v>قسم المحاسبة</v>
      </c>
      <c r="G107" t="str">
        <v>طالبات</v>
      </c>
      <c r="H107" t="str">
        <v>معيد</v>
      </c>
      <c r="L107" t="str">
        <v>بدون تخفيض نصاب</v>
      </c>
      <c r="M107" t="str">
        <v>بدون تخفيض نصاب</v>
      </c>
      <c r="N107">
        <f>IF(OR(ISNUMBER(SEARCH("معار",I107&amp;" "&amp;K107&amp;" "&amp;M107)),ISNUMBER(SEARCH("مجاز",I107&amp;" "&amp;K107&amp;" "&amp;M107)),ISNUMBER(SEARCH("مبتعث",I107&amp;" "&amp;K107&amp;" "&amp;M107))),0,IF(M107="الحد الأدنى",3,IF(M107="50%",ROUND(IF(H107="استاذ",10,IF(H107="استاذ مشارك",12,IF(H107="استاذ مساعد",14,16)))/2,0),IF(H107="استاذ",10,IF(H107="استاذ مشارك",12,IF(H107="استاذ مساعد",14,16))))))</f>
        <v>16</v>
      </c>
      <c r="O107" t="str">
        <v>207</v>
      </c>
      <c r="P107" t="str">
        <v>على رأس عمله</v>
      </c>
      <c r="Q107" t="str">
        <v>٢٧-٠٧-١٤٢٩</v>
      </c>
    </row>
    <row r="108">
      <c r="A108">
        <v>107</v>
      </c>
      <c r="B108" t="str">
        <v>4310533</v>
      </c>
      <c r="C108" t="str">
        <v>امنة محمد امين عبدالكريم امين بخاري</v>
      </c>
      <c r="D108" t="str">
        <v>m.amanh@tu.edu.sa</v>
      </c>
      <c r="E108" t="str">
        <v>غير متوفر</v>
      </c>
      <c r="F108" t="str">
        <v>قسم المحاسبة</v>
      </c>
      <c r="G108" t="str">
        <v>طالبات</v>
      </c>
      <c r="H108" t="str">
        <v>معيد</v>
      </c>
      <c r="L108" t="str">
        <v>بدون تخفيض نصاب</v>
      </c>
      <c r="M108" t="str">
        <v>بدون تخفيض نصاب</v>
      </c>
      <c r="N108">
        <f>IF(OR(ISNUMBER(SEARCH("معار",I108&amp;" "&amp;K108&amp;" "&amp;M108)),ISNUMBER(SEARCH("مجاز",I108&amp;" "&amp;K108&amp;" "&amp;M108)),ISNUMBER(SEARCH("مبتعث",I108&amp;" "&amp;K108&amp;" "&amp;M108))),0,IF(M108="الحد الأدنى",3,IF(M108="50%",ROUND(IF(H108="استاذ",10,IF(H108="استاذ مشارك",12,IF(H108="استاذ مساعد",14,16)))/2,0),IF(H108="استاذ",10,IF(H108="استاذ مشارك",12,IF(H108="استاذ مساعد",14,16))))))</f>
        <v>16</v>
      </c>
      <c r="O108" t="str">
        <v>211</v>
      </c>
      <c r="P108" t="str">
        <v>على رأس عمله</v>
      </c>
      <c r="Q108" t="str">
        <v>٢٤-١١-١٤٣١</v>
      </c>
    </row>
    <row r="109">
      <c r="A109">
        <v>108</v>
      </c>
      <c r="B109" t="str">
        <v>4380049</v>
      </c>
      <c r="C109" t="str">
        <v>نوال محمد عايش الجعيد</v>
      </c>
      <c r="D109" t="str">
        <v>nmaljueid@tu.edu.sa</v>
      </c>
      <c r="E109" t="str">
        <v>531177975</v>
      </c>
      <c r="F109" t="str">
        <v>قسم المحاسبة</v>
      </c>
      <c r="G109" t="str">
        <v>طالبات</v>
      </c>
      <c r="H109" t="str">
        <v>معيد</v>
      </c>
      <c r="L109" t="str">
        <v>بدون تخفيض نصاب</v>
      </c>
      <c r="M109" t="str">
        <v>بدون تخفيض نصاب</v>
      </c>
      <c r="N109">
        <f>IF(OR(ISNUMBER(SEARCH("معار",I109&amp;" "&amp;K109&amp;" "&amp;M109)),ISNUMBER(SEARCH("مجاز",I109&amp;" "&amp;K109&amp;" "&amp;M109)),ISNUMBER(SEARCH("مبتعث",I109&amp;" "&amp;K109&amp;" "&amp;M109))),0,IF(M109="الحد الأدنى",3,IF(M109="50%",ROUND(IF(H109="استاذ",10,IF(H109="استاذ مشارك",12,IF(H109="استاذ مساعد",14,16)))/2,0),IF(H109="استاذ",10,IF(H109="استاذ مشارك",12,IF(H109="استاذ مساعد",14,16))))))</f>
        <v>16</v>
      </c>
      <c r="O109" t="str">
        <v>206</v>
      </c>
      <c r="P109" t="str">
        <v>على رأس عمله</v>
      </c>
      <c r="Q109" t="str">
        <v>٩-٠٦-١٤٣٨</v>
      </c>
    </row>
    <row r="110">
      <c r="A110">
        <v>109</v>
      </c>
      <c r="B110" t="str">
        <v>4270188</v>
      </c>
      <c r="C110" t="str">
        <v>اميره سعد محمد الفقيه</v>
      </c>
      <c r="D110" t="str">
        <v>amera@tu.edu.sa</v>
      </c>
      <c r="E110" t="str">
        <v>543440035</v>
      </c>
      <c r="F110" t="str">
        <v>قسم التسويق</v>
      </c>
      <c r="G110" t="str">
        <v>طالبات</v>
      </c>
      <c r="H110" t="str">
        <v>استاذ مساعد</v>
      </c>
      <c r="I110" t="str">
        <v>منسق وحدة</v>
      </c>
      <c r="J110" t="str">
        <v>منسقة قسم التسويق لوحدة الإرشاد الأكاديمي والخريجين</v>
      </c>
      <c r="L110" t="str">
        <v>50%</v>
      </c>
      <c r="M110" t="str">
        <v>بدون تخفيض نصاب</v>
      </c>
      <c r="N110">
        <f>IF(OR(ISNUMBER(SEARCH("معار",I110&amp;" "&amp;K110&amp;" "&amp;M110)),ISNUMBER(SEARCH("مجاز",I110&amp;" "&amp;K110&amp;" "&amp;M110)),ISNUMBER(SEARCH("مبتعث",I110&amp;" "&amp;K110&amp;" "&amp;M110))),0,IF(M110="الحد الأدنى",3,IF(M110="50%",ROUND(IF(H110="استاذ",10,IF(H110="استاذ مشارك",12,IF(H110="استاذ مساعد",14,16)))/2,0),IF(H110="استاذ",10,IF(H110="استاذ مشارك",12,IF(H110="استاذ مساعد",14,16))))))</f>
        <v>14</v>
      </c>
      <c r="P110" t="str">
        <v>على رأس عمله</v>
      </c>
      <c r="Q110" t="str">
        <v>١٦-٠٨-١٤٢٨</v>
      </c>
    </row>
    <row r="111">
      <c r="A111">
        <v>110</v>
      </c>
      <c r="B111" t="str">
        <v>4340464</v>
      </c>
      <c r="C111" t="str">
        <v>خلود راغب عبدالسلام القطب</v>
      </c>
      <c r="D111" t="str">
        <v>Kqutub@tu.edu.sa</v>
      </c>
      <c r="E111" t="str">
        <v>554606424</v>
      </c>
      <c r="F111" t="str">
        <v>قسم التسويق</v>
      </c>
      <c r="G111" t="str">
        <v>طالبات</v>
      </c>
      <c r="H111" t="str">
        <v>استاذ مشارك</v>
      </c>
      <c r="L111" t="str">
        <v>بدون تخفيض نصاب</v>
      </c>
      <c r="M111" t="str">
        <v>بدون تخفيض نصاب</v>
      </c>
      <c r="N111">
        <f>IF(OR(ISNUMBER(SEARCH("معار",I111&amp;" "&amp;K111&amp;" "&amp;M111)),ISNUMBER(SEARCH("مجاز",I111&amp;" "&amp;K111&amp;" "&amp;M111)),ISNUMBER(SEARCH("مبتعث",I111&amp;" "&amp;K111&amp;" "&amp;M111))),0,IF(M111="الحد الأدنى",3,IF(M111="50%",ROUND(IF(H111="استاذ",10,IF(H111="استاذ مشارك",12,IF(H111="استاذ مساعد",14,16)))/2,0),IF(H111="استاذ",10,IF(H111="استاذ مشارك",12,IF(H111="استاذ مساعد",14,16))))))</f>
        <v>12</v>
      </c>
      <c r="O111" t="str">
        <v>205</v>
      </c>
      <c r="P111" t="str">
        <v>على رأس عمله</v>
      </c>
      <c r="Q111" t="str">
        <v>٧-٠٦-١٤٣٥</v>
      </c>
    </row>
    <row r="112">
      <c r="A112">
        <v>111</v>
      </c>
      <c r="B112" t="str">
        <v>4310181</v>
      </c>
      <c r="C112" t="str">
        <v>ريم عبد الرحمن محمد الفيصلي</v>
      </c>
      <c r="D112" t="str">
        <v>r.alfaisaly@tu.edu.sa</v>
      </c>
      <c r="E112" t="str">
        <v>504112249</v>
      </c>
      <c r="F112" t="str">
        <v>قسم التسويق</v>
      </c>
      <c r="G112" t="str">
        <v>طالبات</v>
      </c>
      <c r="H112" t="str">
        <v>استاذ مساعد</v>
      </c>
      <c r="L112" t="str">
        <v>بدون تخفيض نصاب</v>
      </c>
      <c r="M112" t="str">
        <v>بدون تخفيض نصاب</v>
      </c>
      <c r="N112">
        <f>IF(OR(ISNUMBER(SEARCH("معار",I112&amp;" "&amp;K112&amp;" "&amp;M112)),ISNUMBER(SEARCH("مجاز",I112&amp;" "&amp;K112&amp;" "&amp;M112)),ISNUMBER(SEARCH("مبتعث",I112&amp;" "&amp;K112&amp;" "&amp;M112))),0,IF(M112="الحد الأدنى",3,IF(M112="50%",ROUND(IF(H112="استاذ",10,IF(H112="استاذ مشارك",12,IF(H112="استاذ مساعد",14,16)))/2,0),IF(H112="استاذ",10,IF(H112="استاذ مشارك",12,IF(H112="استاذ مساعد",14,16))))))</f>
        <v>14</v>
      </c>
      <c r="O112" t="str">
        <v>202</v>
      </c>
      <c r="P112" t="str">
        <v>على رأس عمله</v>
      </c>
      <c r="Q112" t="str">
        <v>٢١-٠٥-١٤٣١</v>
      </c>
    </row>
    <row r="113">
      <c r="A113">
        <v>112</v>
      </c>
      <c r="B113" t="str">
        <v>4400215</v>
      </c>
      <c r="C113" t="str">
        <v>صفاء حسن علي كرار محمد خير</v>
      </c>
      <c r="D113" t="str">
        <v>shkarar@tu.edu.sa</v>
      </c>
      <c r="E113" t="str">
        <v>509453433</v>
      </c>
      <c r="F113" t="str">
        <v>قسم التسويق</v>
      </c>
      <c r="G113" t="str">
        <v>طالبات</v>
      </c>
      <c r="H113" t="str">
        <v>استاذ مساعد</v>
      </c>
      <c r="L113" t="str">
        <v>بدون تخفيض نصاب</v>
      </c>
      <c r="M113" t="str">
        <v>بدون تخفيض نصاب</v>
      </c>
      <c r="N113">
        <f>IF(OR(ISNUMBER(SEARCH("معار",I113&amp;" "&amp;K113&amp;" "&amp;M113)),ISNUMBER(SEARCH("مجاز",I113&amp;" "&amp;K113&amp;" "&amp;M113)),ISNUMBER(SEARCH("مبتعث",I113&amp;" "&amp;K113&amp;" "&amp;M113))),0,IF(M113="الحد الأدنى",3,IF(M113="50%",ROUND(IF(H113="استاذ",10,IF(H113="استاذ مشارك",12,IF(H113="استاذ مساعد",14,16)))/2,0),IF(H113="استاذ",10,IF(H113="استاذ مشارك",12,IF(H113="استاذ مساعد",14,16))))))</f>
        <v>14</v>
      </c>
      <c r="O113" t="str">
        <v>105</v>
      </c>
      <c r="P113" t="str">
        <v>على رأس عمله</v>
      </c>
      <c r="Q113" t="str">
        <v>١٧-١٢-١٤٤٠</v>
      </c>
    </row>
    <row r="114">
      <c r="A114">
        <v>113</v>
      </c>
      <c r="B114" t="str">
        <v>4410065</v>
      </c>
      <c r="C114" t="str">
        <v>اميره محمد علي احمد</v>
      </c>
      <c r="D114" t="str">
        <v>Amahmed@tu.edu.sa</v>
      </c>
      <c r="E114" t="str">
        <v>562458533</v>
      </c>
      <c r="F114" t="str">
        <v>قسم التسويق</v>
      </c>
      <c r="G114" t="str">
        <v>طالبات</v>
      </c>
      <c r="H114" t="str">
        <v>استاذ مساعد</v>
      </c>
      <c r="L114" t="str">
        <v>بدون تخفيض نصاب</v>
      </c>
      <c r="M114" t="str">
        <v>بدون تخفيض نصاب</v>
      </c>
      <c r="N114">
        <f>IF(OR(ISNUMBER(SEARCH("معار",I114&amp;" "&amp;K114&amp;" "&amp;M114)),ISNUMBER(SEARCH("مجاز",I114&amp;" "&amp;K114&amp;" "&amp;M114)),ISNUMBER(SEARCH("مبتعث",I114&amp;" "&amp;K114&amp;" "&amp;M114))),0,IF(M114="الحد الأدنى",3,IF(M114="50%",ROUND(IF(H114="استاذ",10,IF(H114="استاذ مشارك",12,IF(H114="استاذ مساعد",14,16)))/2,0),IF(H114="استاذ",10,IF(H114="استاذ مشارك",12,IF(H114="استاذ مساعد",14,16))))))</f>
        <v>14</v>
      </c>
      <c r="O114" t="str">
        <v>205</v>
      </c>
      <c r="P114" t="str">
        <v>على رأس عمله</v>
      </c>
      <c r="Q114" t="str">
        <v>٢٨-٠٤-١٤٤١</v>
      </c>
    </row>
    <row r="115">
      <c r="A115">
        <v>114</v>
      </c>
      <c r="B115" t="str">
        <v>4270195</v>
      </c>
      <c r="C115" t="str">
        <v>حنان ساعد مسعود المحياوي</v>
      </c>
      <c r="D115" t="str">
        <v>S.hanan@tu.edu.sa</v>
      </c>
      <c r="E115" t="str">
        <v>551935162</v>
      </c>
      <c r="F115" t="str">
        <v>قسم التسويق</v>
      </c>
      <c r="G115" t="str">
        <v>طالبات</v>
      </c>
      <c r="H115" t="str">
        <v>معيد</v>
      </c>
      <c r="L115" t="str">
        <v>بدون تخفيض نصاب</v>
      </c>
      <c r="M115" t="str">
        <v>بدون تخفيض نصاب</v>
      </c>
      <c r="N115">
        <f>IF(OR(ISNUMBER(SEARCH("معار",I115&amp;" "&amp;K115&amp;" "&amp;M115)),ISNUMBER(SEARCH("مجاز",I115&amp;" "&amp;K115&amp;" "&amp;M115)),ISNUMBER(SEARCH("مبتعث",I115&amp;" "&amp;K115&amp;" "&amp;M115))),0,IF(M115="الحد الأدنى",3,IF(M115="50%",ROUND(IF(H115="استاذ",10,IF(H115="استاذ مشارك",12,IF(H115="استاذ مساعد",14,16)))/2,0),IF(H115="استاذ",10,IF(H115="استاذ مشارك",12,IF(H115="استاذ مساعد",14,16))))))</f>
        <v>16</v>
      </c>
      <c r="O115" t="str">
        <v>205</v>
      </c>
      <c r="P115" t="str">
        <v>على رأس عمله</v>
      </c>
      <c r="Q115" t="str">
        <v>١٩-٠٨-١٤٢٨</v>
      </c>
    </row>
    <row r="116">
      <c r="A116">
        <v>115</v>
      </c>
      <c r="B116" t="str">
        <v>4340458</v>
      </c>
      <c r="C116" t="str">
        <v>بيان طايل غازي الحصيني</v>
      </c>
      <c r="D116" t="str">
        <v>Bayan.t@tu.edu.sa</v>
      </c>
      <c r="E116" t="str">
        <v>غير متوفر</v>
      </c>
      <c r="F116" t="str">
        <v>قسم التسويق</v>
      </c>
      <c r="G116" t="str">
        <v>طالبات</v>
      </c>
      <c r="H116" t="str">
        <v>معيد</v>
      </c>
      <c r="L116" t="str">
        <v>بدون تخفيض نصاب</v>
      </c>
      <c r="M116" t="str">
        <v>بدون تخفيض نصاب</v>
      </c>
      <c r="N116">
        <f>IF(OR(ISNUMBER(SEARCH("معار",I116&amp;" "&amp;K116&amp;" "&amp;M116)),ISNUMBER(SEARCH("مجاز",I116&amp;" "&amp;K116&amp;" "&amp;M116)),ISNUMBER(SEARCH("مبتعث",I116&amp;" "&amp;K116&amp;" "&amp;M116))),0,IF(M116="الحد الأدنى",3,IF(M116="50%",ROUND(IF(H116="استاذ",10,IF(H116="استاذ مشارك",12,IF(H116="استاذ مساعد",14,16)))/2,0),IF(H116="استاذ",10,IF(H116="استاذ مشارك",12,IF(H116="استاذ مساعد",14,16))))))</f>
        <v>16</v>
      </c>
      <c r="O116" t="str">
        <v>204</v>
      </c>
      <c r="P116" t="str">
        <v>على رأس عمله</v>
      </c>
      <c r="Q116" t="str">
        <v>٦-٠٦-١٤٣٥</v>
      </c>
    </row>
    <row r="117">
      <c r="A117">
        <v>116</v>
      </c>
      <c r="B117" t="str">
        <v>4350158</v>
      </c>
      <c r="C117" t="str">
        <v>رحاب محمد مرحوم الحميدي</v>
      </c>
      <c r="D117" t="str">
        <v>Rehab.h@tu.edu.sa</v>
      </c>
      <c r="E117" t="str">
        <v>569782271</v>
      </c>
      <c r="F117" t="str">
        <v>قسم التسويق</v>
      </c>
      <c r="G117" t="str">
        <v>طالبات</v>
      </c>
      <c r="H117" t="str">
        <v>معيد</v>
      </c>
      <c r="L117" t="str">
        <v>بدون تخفيض نصاب</v>
      </c>
      <c r="M117" t="str">
        <v>بدون تخفيض نصاب</v>
      </c>
      <c r="N117">
        <f>IF(OR(ISNUMBER(SEARCH("معار",I117&amp;" "&amp;K117&amp;" "&amp;M117)),ISNUMBER(SEARCH("مجاز",I117&amp;" "&amp;K117&amp;" "&amp;M117)),ISNUMBER(SEARCH("مبتعث",I117&amp;" "&amp;K117&amp;" "&amp;M117))),0,IF(M117="الحد الأدنى",3,IF(M117="50%",ROUND(IF(H117="استاذ",10,IF(H117="استاذ مشارك",12,IF(H117="استاذ مساعد",14,16)))/2,0),IF(H117="استاذ",10,IF(H117="استاذ مشارك",12,IF(H117="استاذ مساعد",14,16))))))</f>
        <v>16</v>
      </c>
      <c r="O117" t="str">
        <v>204</v>
      </c>
      <c r="P117" t="str">
        <v>على رأس عمله</v>
      </c>
      <c r="Q117" t="str">
        <v>١٩-١٢-١٤٣٥</v>
      </c>
    </row>
    <row r="118">
      <c r="A118">
        <v>117</v>
      </c>
      <c r="B118" t="str">
        <v>4370037</v>
      </c>
      <c r="C118" t="str">
        <v>امل محمد احمد الثبيتي</v>
      </c>
      <c r="D118" t="str">
        <v>Amal.mm@tu.edu.sa</v>
      </c>
      <c r="E118" t="str">
        <v>5404010677</v>
      </c>
      <c r="F118" t="str">
        <v>قسم التسويق</v>
      </c>
      <c r="G118" t="str">
        <v>طالبات</v>
      </c>
      <c r="H118" t="str">
        <v>معيد</v>
      </c>
      <c r="L118" t="str">
        <v>بدون تخفيض نصاب</v>
      </c>
      <c r="M118" t="str">
        <v>بدون تخفيض نصاب</v>
      </c>
      <c r="N118">
        <f>IF(OR(ISNUMBER(SEARCH("معار",I118&amp;" "&amp;K118&amp;" "&amp;M118)),ISNUMBER(SEARCH("مجاز",I118&amp;" "&amp;K118&amp;" "&amp;M118)),ISNUMBER(SEARCH("مبتعث",I118&amp;" "&amp;K118&amp;" "&amp;M118))),0,IF(M118="الحد الأدنى",3,IF(M118="50%",ROUND(IF(H118="استاذ",10,IF(H118="استاذ مشارك",12,IF(H118="استاذ مساعد",14,16)))/2,0),IF(H118="استاذ",10,IF(H118="استاذ مشارك",12,IF(H118="استاذ مساعد",14,16))))))</f>
        <v>16</v>
      </c>
      <c r="O118" t="str">
        <v>204</v>
      </c>
      <c r="P118" t="str">
        <v>على رأس عمله</v>
      </c>
      <c r="Q118" t="str">
        <v>١٤-٠٥-١٤٣٧</v>
      </c>
    </row>
    <row r="119">
      <c r="A119">
        <v>118</v>
      </c>
      <c r="B119" t="str">
        <v>4340145</v>
      </c>
      <c r="C119" t="str">
        <v>رذاذ حسين أنور فلمبان</v>
      </c>
      <c r="D119" t="str">
        <v>Razaz.h@tu.edu.sa</v>
      </c>
      <c r="E119" t="str">
        <v>555529285</v>
      </c>
      <c r="F119" t="str">
        <v>قسم الاقتصاد و التمويل</v>
      </c>
      <c r="G119" t="str">
        <v>طالبات</v>
      </c>
      <c r="H119" t="str">
        <v>استاذ مساعد</v>
      </c>
      <c r="I119" t="str">
        <v>رئيس قسم</v>
      </c>
      <c r="J119" t="str">
        <v>رئيس قسم الاقتصاد والتمويل</v>
      </c>
      <c r="L119" t="str">
        <v>معفي من الارشاد</v>
      </c>
      <c r="M119" t="str">
        <v>الحد الأدنى</v>
      </c>
      <c r="N119">
        <f>IF(OR(ISNUMBER(SEARCH("معار",I119&amp;" "&amp;K119&amp;" "&amp;M119)),ISNUMBER(SEARCH("مجاز",I119&amp;" "&amp;K119&amp;" "&amp;M119)),ISNUMBER(SEARCH("مبتعث",I119&amp;" "&amp;K119&amp;" "&amp;M119))),0,IF(M119="الحد الأدنى",3,IF(M119="50%",ROUND(IF(H119="استاذ",10,IF(H119="استاذ مشارك",12,IF(H119="استاذ مساعد",14,16)))/2,0),IF(H119="استاذ",10,IF(H119="استاذ مشارك",12,IF(H119="استاذ مساعد",14,16))))))</f>
        <v>3</v>
      </c>
      <c r="O119" t="str">
        <v>107</v>
      </c>
      <c r="P119" t="str">
        <v>على رأس عمله</v>
      </c>
      <c r="Q119" t="str">
        <v>١٤-٠٨-١٤٣٤</v>
      </c>
    </row>
    <row r="120">
      <c r="A120">
        <v>119</v>
      </c>
      <c r="B120" t="str">
        <v>4340422</v>
      </c>
      <c r="C120" t="str">
        <v>هبه الله عبدالصبور أمين حسن</v>
      </c>
      <c r="D120" t="str">
        <v>Heba79@tu.edu.sa</v>
      </c>
      <c r="E120" t="str">
        <v>533040494</v>
      </c>
      <c r="F120" t="str">
        <v>قسم الاقتصاد و التمويل</v>
      </c>
      <c r="G120" t="str">
        <v>طالبات</v>
      </c>
      <c r="H120" t="str">
        <v>استاذ مساعد</v>
      </c>
      <c r="I120" t="str">
        <v>منسق كلية</v>
      </c>
      <c r="J120" t="str">
        <v>منسقة كلية إدارة الأعمال للشؤون الأكاديمية-شطر الطالبات</v>
      </c>
      <c r="K120" t="str">
        <v>أمينة قسم التسويق</v>
      </c>
      <c r="L120" t="str">
        <v>معفي من الارشاد</v>
      </c>
      <c r="M120" t="str">
        <v>بدون تخفيض نصاب</v>
      </c>
      <c r="N120">
        <f>IF(OR(ISNUMBER(SEARCH("معار",I120&amp;" "&amp;K120&amp;" "&amp;M120)),ISNUMBER(SEARCH("مجاز",I120&amp;" "&amp;K120&amp;" "&amp;M120)),ISNUMBER(SEARCH("مبتعث",I120&amp;" "&amp;K120&amp;" "&amp;M120))),0,IF(M120="الحد الأدنى",3,IF(M120="50%",ROUND(IF(H120="استاذ",10,IF(H120="استاذ مشارك",12,IF(H120="استاذ مساعد",14,16)))/2,0),IF(H120="استاذ",10,IF(H120="استاذ مشارك",12,IF(H120="استاذ مساعد",14,16))))))</f>
        <v>14</v>
      </c>
      <c r="P120" t="str">
        <v>على رأس عمله</v>
      </c>
      <c r="Q120" t="str">
        <v>٢١-٠٤-١٤٣٥</v>
      </c>
    </row>
    <row r="121">
      <c r="A121">
        <v>120</v>
      </c>
      <c r="B121" t="str">
        <v>4320006</v>
      </c>
      <c r="C121" t="str">
        <v>أشواق عيظه عوض السفياني</v>
      </c>
      <c r="D121" t="str">
        <v>ashwaq@tu.edu.sa</v>
      </c>
      <c r="E121" t="str">
        <v>590078733</v>
      </c>
      <c r="F121" t="str">
        <v>قسم الاقتصاد و التمويل</v>
      </c>
      <c r="G121" t="str">
        <v>طالبات</v>
      </c>
      <c r="H121" t="str">
        <v>استاذ مساعد</v>
      </c>
      <c r="I121" t="str">
        <v>امين قسم</v>
      </c>
      <c r="J121" t="str">
        <v>أمينة قسم الاقتصاد والتمويل</v>
      </c>
      <c r="L121" t="str">
        <v>حالات خاصة</v>
      </c>
      <c r="M121" t="str">
        <v>بدون تخفيض نصاب</v>
      </c>
      <c r="N121">
        <f>IF(OR(ISNUMBER(SEARCH("معار",I121&amp;" "&amp;K121&amp;" "&amp;M121)),ISNUMBER(SEARCH("مجاز",I121&amp;" "&amp;K121&amp;" "&amp;M121)),ISNUMBER(SEARCH("مبتعث",I121&amp;" "&amp;K121&amp;" "&amp;M121))),0,IF(M121="الحد الأدنى",3,IF(M121="50%",ROUND(IF(H121="استاذ",10,IF(H121="استاذ مشارك",12,IF(H121="استاذ مساعد",14,16)))/2,0),IF(H121="استاذ",10,IF(H121="استاذ مشارك",12,IF(H121="استاذ مساعد",14,16))))))</f>
        <v>14</v>
      </c>
      <c r="O121" t="str">
        <v>119</v>
      </c>
      <c r="P121" t="str">
        <v>على رأس عمله</v>
      </c>
      <c r="Q121" t="str">
        <v>٢٦-٠١-١٤٣٢</v>
      </c>
    </row>
    <row r="122">
      <c r="A122">
        <v>121</v>
      </c>
      <c r="B122" t="str">
        <v>4340394</v>
      </c>
      <c r="C122" t="str">
        <v>غراس غازي عبدالرحمن ابو الشامات</v>
      </c>
      <c r="D122" t="str">
        <v>g.abualshamat@tu.edu.sa</v>
      </c>
      <c r="E122" t="str">
        <v>555601501</v>
      </c>
      <c r="F122" t="str">
        <v>قسم الاقتصاد و التمويل</v>
      </c>
      <c r="G122" t="str">
        <v>طالبات</v>
      </c>
      <c r="H122" t="str">
        <v>استاذ مساعد</v>
      </c>
      <c r="I122" t="str">
        <v>امين قسم</v>
      </c>
      <c r="J122" t="str">
        <v>أمينة قسم الإدارة</v>
      </c>
      <c r="L122" t="str">
        <v>حالات خاصة</v>
      </c>
      <c r="M122" t="str">
        <v>بدون تخفيض نصاب</v>
      </c>
      <c r="N122">
        <f>IF(OR(ISNUMBER(SEARCH("معار",I122&amp;" "&amp;K122&amp;" "&amp;M122)),ISNUMBER(SEARCH("مجاز",I122&amp;" "&amp;K122&amp;" "&amp;M122)),ISNUMBER(SEARCH("مبتعث",I122&amp;" "&amp;K122&amp;" "&amp;M122))),0,IF(M122="الحد الأدنى",3,IF(M122="50%",ROUND(IF(H122="استاذ",10,IF(H122="استاذ مشارك",12,IF(H122="استاذ مساعد",14,16)))/2,0),IF(H122="استاذ",10,IF(H122="استاذ مشارك",12,IF(H122="استاذ مساعد",14,16))))))</f>
        <v>14</v>
      </c>
      <c r="O122" t="str">
        <v>308</v>
      </c>
      <c r="P122" t="str">
        <v>على رأس عمله</v>
      </c>
      <c r="Q122" t="str">
        <v>١٥-٠٣-١٤٣٥</v>
      </c>
    </row>
    <row r="123">
      <c r="A123">
        <v>122</v>
      </c>
      <c r="B123" t="str">
        <v>4400045</v>
      </c>
      <c r="C123" t="str">
        <v>سوليمة ابراهيم بلحسن العبدلي</v>
      </c>
      <c r="D123" t="str">
        <v>seabdelli@tu.edu.sa</v>
      </c>
      <c r="E123" t="str">
        <v>834288337</v>
      </c>
      <c r="F123" t="str">
        <v>قسم الاقتصاد و التمويل</v>
      </c>
      <c r="G123" t="str">
        <v>طالبات</v>
      </c>
      <c r="H123" t="str">
        <v>استاذ مساعد</v>
      </c>
      <c r="I123" t="str">
        <v>منسق وحدة</v>
      </c>
      <c r="J123" t="str">
        <v>منسقة قسم الاقتصاد والتمويل لوحدة الإرشاد الأكاديمي والخريجين</v>
      </c>
      <c r="L123" t="str">
        <v>50%</v>
      </c>
      <c r="M123" t="str">
        <v>بدون تخفيض نصاب</v>
      </c>
      <c r="N123">
        <f>IF(OR(ISNUMBER(SEARCH("معار",I123&amp;" "&amp;K123&amp;" "&amp;M123)),ISNUMBER(SEARCH("مجاز",I123&amp;" "&amp;K123&amp;" "&amp;M123)),ISNUMBER(SEARCH("مبتعث",I123&amp;" "&amp;K123&amp;" "&amp;M123))),0,IF(M123="الحد الأدنى",3,IF(M123="50%",ROUND(IF(H123="استاذ",10,IF(H123="استاذ مشارك",12,IF(H123="استاذ مساعد",14,16)))/2,0),IF(H123="استاذ",10,IF(H123="استاذ مشارك",12,IF(H123="استاذ مساعد",14,16))))))</f>
        <v>14</v>
      </c>
      <c r="O123" t="str">
        <v>108</v>
      </c>
      <c r="P123" t="str">
        <v>على رأس عمله</v>
      </c>
      <c r="Q123" t="str">
        <v>٢-٠٢-١٤٤٠</v>
      </c>
    </row>
    <row r="124">
      <c r="A124">
        <v>123</v>
      </c>
      <c r="B124" t="str">
        <v>4310074</v>
      </c>
      <c r="C124" t="str">
        <v>فارعه محمد هليل السفري الحربي</v>
      </c>
      <c r="D124" t="str">
        <v>fharbi@tu.edu.sa</v>
      </c>
      <c r="E124" t="str">
        <v>552817291</v>
      </c>
      <c r="F124" t="str">
        <v>قسم الاقتصاد و التمويل</v>
      </c>
      <c r="G124" t="str">
        <v>طالبات</v>
      </c>
      <c r="H124" t="str">
        <v>استاذ مشارك</v>
      </c>
      <c r="L124" t="str">
        <v>بدون تخفيض نصاب</v>
      </c>
      <c r="M124" t="str">
        <v>بدون تخفيض نصاب</v>
      </c>
      <c r="N124">
        <f>IF(OR(ISNUMBER(SEARCH("معار",I124&amp;" "&amp;K124&amp;" "&amp;M124)),ISNUMBER(SEARCH("مجاز",I124&amp;" "&amp;K124&amp;" "&amp;M124)),ISNUMBER(SEARCH("مبتعث",I124&amp;" "&amp;K124&amp;" "&amp;M124))),0,IF(M124="الحد الأدنى",3,IF(M124="50%",ROUND(IF(H124="استاذ",10,IF(H124="استاذ مشارك",12,IF(H124="استاذ مساعد",14,16)))/2,0),IF(H124="استاذ",10,IF(H124="استاذ مشارك",12,IF(H124="استاذ مساعد",14,16))))))</f>
        <v>12</v>
      </c>
      <c r="O124" t="str">
        <v>305</v>
      </c>
      <c r="P124" t="str">
        <v>على رأس عمله</v>
      </c>
      <c r="Q124" t="str">
        <v>٢٤-٠٢-١٤٣١</v>
      </c>
    </row>
    <row r="125">
      <c r="A125">
        <v>124</v>
      </c>
      <c r="B125" t="str">
        <v>4310309</v>
      </c>
      <c r="C125" t="str">
        <v>نجلاء فتح الرحمن احمد القاضي</v>
      </c>
      <c r="D125" t="str">
        <v>Najla.f@tu.edu.sa</v>
      </c>
      <c r="E125" t="str">
        <v>501807352</v>
      </c>
      <c r="F125" t="str">
        <v>قسم الاقتصاد و التمويل</v>
      </c>
      <c r="G125" t="str">
        <v>طالبات</v>
      </c>
      <c r="H125" t="str">
        <v>استاذ مشارك</v>
      </c>
      <c r="L125" t="str">
        <v>بدون تخفيض نصاب</v>
      </c>
      <c r="M125" t="str">
        <v>بدون تخفيض نصاب</v>
      </c>
      <c r="N125">
        <f>IF(OR(ISNUMBER(SEARCH("معار",I125&amp;" "&amp;K125&amp;" "&amp;M125)),ISNUMBER(SEARCH("مجاز",I125&amp;" "&amp;K125&amp;" "&amp;M125)),ISNUMBER(SEARCH("مبتعث",I125&amp;" "&amp;K125&amp;" "&amp;M125))),0,IF(M125="الحد الأدنى",3,IF(M125="50%",ROUND(IF(H125="استاذ",10,IF(H125="استاذ مشارك",12,IF(H125="استاذ مساعد",14,16)))/2,0),IF(H125="استاذ",10,IF(H125="استاذ مشارك",12,IF(H125="استاذ مساعد",14,16))))))</f>
        <v>12</v>
      </c>
      <c r="O125" t="str">
        <v>108</v>
      </c>
      <c r="P125" t="str">
        <v>على رأس عمله</v>
      </c>
      <c r="Q125" t="str">
        <v>٩-١٠-١٤٣١</v>
      </c>
    </row>
    <row r="126">
      <c r="A126">
        <v>125</v>
      </c>
      <c r="B126" t="str">
        <v>4310564</v>
      </c>
      <c r="C126" t="str">
        <v>ريم عبدالمحسن محمد القحطاني</v>
      </c>
      <c r="D126" t="str">
        <v>a.reem@tu.edu.sa</v>
      </c>
      <c r="E126" t="str">
        <v>550079696</v>
      </c>
      <c r="F126" t="str">
        <v>قسم الاقتصاد و التمويل</v>
      </c>
      <c r="G126" t="str">
        <v>طالبات</v>
      </c>
      <c r="H126" t="str">
        <v>استاذ مشارك</v>
      </c>
      <c r="L126" t="str">
        <v>بدون تخفيض نصاب</v>
      </c>
      <c r="M126" t="str">
        <v>بدون تخفيض نصاب</v>
      </c>
      <c r="N126">
        <f>IF(OR(ISNUMBER(SEARCH("معار",I126&amp;" "&amp;K126&amp;" "&amp;M126)),ISNUMBER(SEARCH("مجاز",I126&amp;" "&amp;K126&amp;" "&amp;M126)),ISNUMBER(SEARCH("مبتعث",I126&amp;" "&amp;K126&amp;" "&amp;M126))),0,IF(M126="الحد الأدنى",3,IF(M126="50%",ROUND(IF(H126="استاذ",10,IF(H126="استاذ مشارك",12,IF(H126="استاذ مساعد",14,16)))/2,0),IF(H126="استاذ",10,IF(H126="استاذ مشارك",12,IF(H126="استاذ مساعد",14,16))))))</f>
        <v>12</v>
      </c>
      <c r="O126" t="str">
        <v>305</v>
      </c>
      <c r="P126" t="str">
        <v>على رأس عمله</v>
      </c>
      <c r="Q126" t="str">
        <v>٣-١٢-١٤٣١</v>
      </c>
    </row>
    <row r="127">
      <c r="A127">
        <v>126</v>
      </c>
      <c r="B127" t="str">
        <v>4280521</v>
      </c>
      <c r="C127" t="str">
        <v>منال صالح عويمر السفياني</v>
      </c>
      <c r="D127" t="str">
        <v>m.sefyani@tu.edu.sa</v>
      </c>
      <c r="E127" t="str">
        <v>508174127</v>
      </c>
      <c r="F127" t="str">
        <v>قسم الاقتصاد و التمويل</v>
      </c>
      <c r="G127" t="str">
        <v>طالبات</v>
      </c>
      <c r="H127" t="str">
        <v>استاذ مساعد</v>
      </c>
      <c r="L127" t="str">
        <v>بدون تخفيض نصاب</v>
      </c>
      <c r="M127" t="str">
        <v>بدون تخفيض نصاب</v>
      </c>
      <c r="N127">
        <f>IF(OR(ISNUMBER(SEARCH("معار",I127&amp;" "&amp;K127&amp;" "&amp;M127)),ISNUMBER(SEARCH("مجاز",I127&amp;" "&amp;K127&amp;" "&amp;M127)),ISNUMBER(SEARCH("مبتعث",I127&amp;" "&amp;K127&amp;" "&amp;M127))),0,IF(M127="الحد الأدنى",3,IF(M127="50%",ROUND(IF(H127="استاذ",10,IF(H127="استاذ مشارك",12,IF(H127="استاذ مساعد",14,16)))/2,0),IF(H127="استاذ",10,IF(H127="استاذ مشارك",12,IF(H127="استاذ مساعد",14,16))))))</f>
        <v>14</v>
      </c>
      <c r="O127" t="str">
        <v>308</v>
      </c>
      <c r="P127" t="str">
        <v>على رأس عمله</v>
      </c>
      <c r="Q127" t="str">
        <v>٢٣-٠٧-١٤٢٩</v>
      </c>
    </row>
    <row r="128">
      <c r="A128">
        <v>127</v>
      </c>
      <c r="B128" t="str">
        <v>4280537</v>
      </c>
      <c r="C128" t="str">
        <v>شيمه احمد مبارك الزهراني</v>
      </c>
      <c r="D128" t="str">
        <v>shema@tu.edu.sa</v>
      </c>
      <c r="E128" t="str">
        <v>56667975</v>
      </c>
      <c r="F128" t="str">
        <v>قسم الاقتصاد و التمويل</v>
      </c>
      <c r="G128" t="str">
        <v>طالبات</v>
      </c>
      <c r="H128" t="str">
        <v>استاذ مساعد</v>
      </c>
      <c r="L128" t="str">
        <v>بدون تخفيض نصاب</v>
      </c>
      <c r="M128" t="str">
        <v>بدون تخفيض نصاب</v>
      </c>
      <c r="N128">
        <f>IF(OR(ISNUMBER(SEARCH("معار",I128&amp;" "&amp;K128&amp;" "&amp;M128)),ISNUMBER(SEARCH("مجاز",I128&amp;" "&amp;K128&amp;" "&amp;M128)),ISNUMBER(SEARCH("مبتعث",I128&amp;" "&amp;K128&amp;" "&amp;M128))),0,IF(M128="الحد الأدنى",3,IF(M128="50%",ROUND(IF(H128="استاذ",10,IF(H128="استاذ مشارك",12,IF(H128="استاذ مساعد",14,16)))/2,0),IF(H128="استاذ",10,IF(H128="استاذ مشارك",12,IF(H128="استاذ مساعد",14,16))))))</f>
        <v>14</v>
      </c>
      <c r="O128" t="str">
        <v>309</v>
      </c>
      <c r="P128" t="str">
        <v>على رأس عمله</v>
      </c>
      <c r="Q128" t="str">
        <v>٢٣-٠٧-١٤٢٩</v>
      </c>
    </row>
    <row r="129">
      <c r="A129">
        <v>128</v>
      </c>
      <c r="B129" t="str">
        <v>4310520</v>
      </c>
      <c r="C129" t="str">
        <v>شروق عايض عيضة الثبيتي</v>
      </c>
      <c r="D129" t="str">
        <v>shoroq@tu.edu.sa</v>
      </c>
      <c r="E129" t="str">
        <v>555687675</v>
      </c>
      <c r="F129" t="str">
        <v>قسم الاقتصاد و التمويل</v>
      </c>
      <c r="G129" t="str">
        <v>طالبات</v>
      </c>
      <c r="H129" t="str">
        <v>استاذ مساعد</v>
      </c>
      <c r="L129" t="str">
        <v>بدون تخفيض نصاب</v>
      </c>
      <c r="M129" t="str">
        <v>بدون تخفيض نصاب</v>
      </c>
      <c r="N129">
        <f>IF(OR(ISNUMBER(SEARCH("معار",I129&amp;" "&amp;K129&amp;" "&amp;M129)),ISNUMBER(SEARCH("مجاز",I129&amp;" "&amp;K129&amp;" "&amp;M129)),ISNUMBER(SEARCH("مبتعث",I129&amp;" "&amp;K129&amp;" "&amp;M129))),0,IF(M129="الحد الأدنى",3,IF(M129="50%",ROUND(IF(H129="استاذ",10,IF(H129="استاذ مشارك",12,IF(H129="استاذ مساعد",14,16)))/2,0),IF(H129="استاذ",10,IF(H129="استاذ مشارك",12,IF(H129="استاذ مساعد",14,16))))))</f>
        <v>14</v>
      </c>
      <c r="P129" t="str">
        <v>على رأس عمله</v>
      </c>
      <c r="Q129" t="str">
        <v>٢٣-١١-١٤٣١</v>
      </c>
    </row>
    <row r="130">
      <c r="A130">
        <v>129</v>
      </c>
      <c r="B130" t="str">
        <v>4360057</v>
      </c>
      <c r="C130" t="str">
        <v>سمر كامل محمد حسن عجيب</v>
      </c>
      <c r="D130" t="str">
        <v>Samar.ajeeb@hotmail.com</v>
      </c>
      <c r="E130" t="str">
        <v>503418627</v>
      </c>
      <c r="F130" t="str">
        <v>قسم الاقتصاد و التمويل</v>
      </c>
      <c r="G130" t="str">
        <v>طالبات</v>
      </c>
      <c r="H130" t="str">
        <v>استاذ مساعد</v>
      </c>
      <c r="L130" t="str">
        <v>بدون تخفيض نصاب</v>
      </c>
      <c r="M130" t="str">
        <v>بدون تخفيض نصاب</v>
      </c>
      <c r="N130">
        <f>IF(OR(ISNUMBER(SEARCH("معار",I130&amp;" "&amp;K130&amp;" "&amp;M130)),ISNUMBER(SEARCH("مجاز",I130&amp;" "&amp;K130&amp;" "&amp;M130)),ISNUMBER(SEARCH("مبتعث",I130&amp;" "&amp;K130&amp;" "&amp;M130))),0,IF(M130="الحد الأدنى",3,IF(M130="50%",ROUND(IF(H130="استاذ",10,IF(H130="استاذ مشارك",12,IF(H130="استاذ مساعد",14,16)))/2,0),IF(H130="استاذ",10,IF(H130="استاذ مشارك",12,IF(H130="استاذ مساعد",14,16))))))</f>
        <v>14</v>
      </c>
      <c r="P130" t="str">
        <v>على رأس عمله</v>
      </c>
      <c r="Q130" t="str">
        <v>٣-٠٣-١٤٣٦</v>
      </c>
    </row>
    <row r="131">
      <c r="A131">
        <v>130</v>
      </c>
      <c r="B131" t="str">
        <v>4360081</v>
      </c>
      <c r="C131" t="str">
        <v>تماضر عواض نفيع السلمي</v>
      </c>
      <c r="D131" t="str">
        <v>Tamader.a@tu.edu.sa</v>
      </c>
      <c r="E131" t="str">
        <v>564589010</v>
      </c>
      <c r="F131" t="str">
        <v>قسم الاقتصاد و التمويل</v>
      </c>
      <c r="G131" t="str">
        <v>طالبات</v>
      </c>
      <c r="H131" t="str">
        <v>استاذ مساعد</v>
      </c>
      <c r="L131" t="str">
        <v>بدون تخفيض نصاب</v>
      </c>
      <c r="M131" t="str">
        <v>بدون تخفيض نصاب</v>
      </c>
      <c r="N131">
        <f>IF(OR(ISNUMBER(SEARCH("معار",I131&amp;" "&amp;K131&amp;" "&amp;M131)),ISNUMBER(SEARCH("مجاز",I131&amp;" "&amp;K131&amp;" "&amp;M131)),ISNUMBER(SEARCH("مبتعث",I131&amp;" "&amp;K131&amp;" "&amp;M131))),0,IF(M131="الحد الأدنى",3,IF(M131="50%",ROUND(IF(H131="استاذ",10,IF(H131="استاذ مشارك",12,IF(H131="استاذ مساعد",14,16)))/2,0),IF(H131="استاذ",10,IF(H131="استاذ مشارك",12,IF(H131="استاذ مساعد",14,16))))))</f>
        <v>14</v>
      </c>
      <c r="O131" t="str">
        <v>307</v>
      </c>
      <c r="P131" t="str">
        <v>على رأس عمله</v>
      </c>
      <c r="Q131" t="str">
        <v>١٣-٠٤-١٤٣٦</v>
      </c>
    </row>
    <row r="132">
      <c r="A132">
        <v>131</v>
      </c>
      <c r="B132" t="str">
        <v>4390019</v>
      </c>
      <c r="C132" t="str">
        <v>مها مصطفي متولي قنصوه</v>
      </c>
      <c r="D132" t="str">
        <v>makonsowa@tu.edu.sa</v>
      </c>
      <c r="E132" t="str">
        <v>593800313</v>
      </c>
      <c r="F132" t="str">
        <v>قسم الاقتصاد و التمويل</v>
      </c>
      <c r="G132" t="str">
        <v>طالبات</v>
      </c>
      <c r="H132" t="str">
        <v>استاذ مساعد</v>
      </c>
      <c r="L132" t="str">
        <v>بدون تخفيض نصاب</v>
      </c>
      <c r="M132" t="str">
        <v>بدون تخفيض نصاب</v>
      </c>
      <c r="N132">
        <f>IF(OR(ISNUMBER(SEARCH("معار",I132&amp;" "&amp;K132&amp;" "&amp;M132)),ISNUMBER(SEARCH("مجاز",I132&amp;" "&amp;K132&amp;" "&amp;M132)),ISNUMBER(SEARCH("مبتعث",I132&amp;" "&amp;K132&amp;" "&amp;M132))),0,IF(M132="الحد الأدنى",3,IF(M132="50%",ROUND(IF(H132="استاذ",10,IF(H132="استاذ مشارك",12,IF(H132="استاذ مساعد",14,16)))/2,0),IF(H132="استاذ",10,IF(H132="استاذ مشارك",12,IF(H132="استاذ مساعد",14,16))))))</f>
        <v>14</v>
      </c>
      <c r="O132" t="str">
        <v>306</v>
      </c>
      <c r="P132" t="str">
        <v>على رأس عمله</v>
      </c>
      <c r="Q132" t="str">
        <v>١٢-٠١-١٤٣٩</v>
      </c>
    </row>
    <row r="133">
      <c r="A133">
        <v>132</v>
      </c>
      <c r="B133" t="str">
        <v>4390057</v>
      </c>
      <c r="C133" t="str">
        <v>غادة عبدالوهاب الكيلاني علي</v>
      </c>
      <c r="D133" t="str">
        <v>gabali@tu.edu.sa</v>
      </c>
      <c r="E133" t="str">
        <v>544981554</v>
      </c>
      <c r="F133" t="str">
        <v>قسم الاقتصاد و التمويل</v>
      </c>
      <c r="G133" t="str">
        <v>طالبات</v>
      </c>
      <c r="H133" t="str">
        <v>استاذ مساعد</v>
      </c>
      <c r="L133" t="str">
        <v>بدون تخفيض نصاب</v>
      </c>
      <c r="M133" t="str">
        <v>بدون تخفيض نصاب</v>
      </c>
      <c r="N133">
        <f>IF(OR(ISNUMBER(SEARCH("معار",I133&amp;" "&amp;K133&amp;" "&amp;M133)),ISNUMBER(SEARCH("مجاز",I133&amp;" "&amp;K133&amp;" "&amp;M133)),ISNUMBER(SEARCH("مبتعث",I133&amp;" "&amp;K133&amp;" "&amp;M133))),0,IF(M133="الحد الأدنى",3,IF(M133="50%",ROUND(IF(H133="استاذ",10,IF(H133="استاذ مشارك",12,IF(H133="استاذ مساعد",14,16)))/2,0),IF(H133="استاذ",10,IF(H133="استاذ مشارك",12,IF(H133="استاذ مساعد",14,16))))))</f>
        <v>14</v>
      </c>
      <c r="O133" t="str">
        <v>311</v>
      </c>
      <c r="P133" t="str">
        <v>على رأس عمله</v>
      </c>
      <c r="Q133" t="str">
        <v>١٨-٠٢-١٤٣٩</v>
      </c>
    </row>
    <row r="134">
      <c r="A134">
        <v>133</v>
      </c>
      <c r="B134" t="str">
        <v>4390229</v>
      </c>
      <c r="C134" t="str">
        <v>ايمان سعد مشعان العتيبي</v>
      </c>
      <c r="D134" t="str">
        <v>esotaibi@tu.edu.sa</v>
      </c>
      <c r="E134" t="str">
        <v>غير متوفر</v>
      </c>
      <c r="F134" t="str">
        <v>قسم الاقتصاد و التمويل</v>
      </c>
      <c r="G134" t="str">
        <v>طالبات</v>
      </c>
      <c r="H134" t="str">
        <v>استاذ مساعد</v>
      </c>
      <c r="L134" t="str">
        <v>بدون تخفيض نصاب</v>
      </c>
      <c r="M134" t="str">
        <v>بدون تخفيض نصاب</v>
      </c>
      <c r="N134">
        <f>IF(OR(ISNUMBER(SEARCH("معار",I134&amp;" "&amp;K134&amp;" "&amp;M134)),ISNUMBER(SEARCH("مجاز",I134&amp;" "&amp;K134&amp;" "&amp;M134)),ISNUMBER(SEARCH("مبتعث",I134&amp;" "&amp;K134&amp;" "&amp;M134))),0,IF(M134="الحد الأدنى",3,IF(M134="50%",ROUND(IF(H134="استاذ",10,IF(H134="استاذ مشارك",12,IF(H134="استاذ مساعد",14,16)))/2,0),IF(H134="استاذ",10,IF(H134="استاذ مشارك",12,IF(H134="استاذ مساعد",14,16))))))</f>
        <v>14</v>
      </c>
      <c r="O134" t="str">
        <v>311</v>
      </c>
      <c r="P134" t="str">
        <v>على رأس عمله</v>
      </c>
      <c r="Q134" t="str">
        <v>١٦-١١-١٤٣٩</v>
      </c>
    </row>
    <row r="135">
      <c r="A135">
        <v>134</v>
      </c>
      <c r="B135" t="str">
        <v>4400231</v>
      </c>
      <c r="C135" t="str">
        <v>ماجدة بنت شعبان بعناني</v>
      </c>
      <c r="D135" t="str">
        <v>mchbouanani@tu.edu.sa</v>
      </c>
      <c r="E135" t="str">
        <v>545831610</v>
      </c>
      <c r="F135" t="str">
        <v>قسم الاقتصاد و التمويل</v>
      </c>
      <c r="G135" t="str">
        <v>طالبات</v>
      </c>
      <c r="H135" t="str">
        <v>استاذ مساعد</v>
      </c>
      <c r="L135" t="str">
        <v>بدون تخفيض نصاب</v>
      </c>
      <c r="M135" t="str">
        <v>بدون تخفيض نصاب</v>
      </c>
      <c r="N135">
        <f>IF(OR(ISNUMBER(SEARCH("معار",I135&amp;" "&amp;K135&amp;" "&amp;M135)),ISNUMBER(SEARCH("مجاز",I135&amp;" "&amp;K135&amp;" "&amp;M135)),ISNUMBER(SEARCH("مبتعث",I135&amp;" "&amp;K135&amp;" "&amp;M135))),0,IF(M135="الحد الأدنى",3,IF(M135="50%",ROUND(IF(H135="استاذ",10,IF(H135="استاذ مشارك",12,IF(H135="استاذ مساعد",14,16)))/2,0),IF(H135="استاذ",10,IF(H135="استاذ مشارك",12,IF(H135="استاذ مساعد",14,16))))))</f>
        <v>14</v>
      </c>
      <c r="O135" t="str">
        <v>307</v>
      </c>
      <c r="P135" t="str">
        <v>على رأس عمله</v>
      </c>
      <c r="Q135" t="str">
        <v>١٩-١٢-١٤٤٠</v>
      </c>
    </row>
    <row r="136">
      <c r="A136">
        <v>135</v>
      </c>
      <c r="B136" t="str">
        <v>4400232</v>
      </c>
      <c r="C136" t="str">
        <v>لمية بنت نورالدين الحسناوي</v>
      </c>
      <c r="D136" t="str">
        <v>lnhasnaowi@tu.edu.sa</v>
      </c>
      <c r="E136" t="str">
        <v>541810415</v>
      </c>
      <c r="F136" t="str">
        <v>قسم الاقتصاد و التمويل</v>
      </c>
      <c r="G136" t="str">
        <v>طالبات</v>
      </c>
      <c r="H136" t="str">
        <v>استاذ مساعد</v>
      </c>
      <c r="L136" t="str">
        <v>بدون تخفيض نصاب</v>
      </c>
      <c r="M136" t="str">
        <v>بدون تخفيض نصاب</v>
      </c>
      <c r="N136">
        <f>IF(OR(ISNUMBER(SEARCH("معار",I136&amp;" "&amp;K136&amp;" "&amp;M136)),ISNUMBER(SEARCH("مجاز",I136&amp;" "&amp;K136&amp;" "&amp;M136)),ISNUMBER(SEARCH("مبتعث",I136&amp;" "&amp;K136&amp;" "&amp;M136))),0,IF(M136="الحد الأدنى",3,IF(M136="50%",ROUND(IF(H136="استاذ",10,IF(H136="استاذ مشارك",12,IF(H136="استاذ مساعد",14,16)))/2,0),IF(H136="استاذ",10,IF(H136="استاذ مشارك",12,IF(H136="استاذ مساعد",14,16))))))</f>
        <v>14</v>
      </c>
      <c r="P136" t="str">
        <v>مطوي القيد</v>
      </c>
      <c r="Q136" t="str">
        <v>١٩-١٢-١٤٤٠</v>
      </c>
    </row>
    <row r="137">
      <c r="A137">
        <v>136</v>
      </c>
      <c r="B137" t="str">
        <v>4400234</v>
      </c>
      <c r="C137" t="str">
        <v>حنان بنت محمد عامر</v>
      </c>
      <c r="D137" t="str">
        <v>hmamer@tu.edu.sa</v>
      </c>
      <c r="E137" t="str">
        <v>540397707</v>
      </c>
      <c r="F137" t="str">
        <v>قسم الاقتصاد و التمويل</v>
      </c>
      <c r="G137" t="str">
        <v>طالبات</v>
      </c>
      <c r="H137" t="str">
        <v>استاذ مساعد</v>
      </c>
      <c r="L137" t="str">
        <v>بدون تخفيض نصاب</v>
      </c>
      <c r="M137" t="str">
        <v>بدون تخفيض نصاب</v>
      </c>
      <c r="N137">
        <f>IF(OR(ISNUMBER(SEARCH("معار",I137&amp;" "&amp;K137&amp;" "&amp;M137)),ISNUMBER(SEARCH("مجاز",I137&amp;" "&amp;K137&amp;" "&amp;M137)),ISNUMBER(SEARCH("مبتعث",I137&amp;" "&amp;K137&amp;" "&amp;M137))),0,IF(M137="الحد الأدنى",3,IF(M137="50%",ROUND(IF(H137="استاذ",10,IF(H137="استاذ مشارك",12,IF(H137="استاذ مساعد",14,16)))/2,0),IF(H137="استاذ",10,IF(H137="استاذ مشارك",12,IF(H137="استاذ مساعد",14,16))))))</f>
        <v>14</v>
      </c>
      <c r="O137" t="str">
        <v>311</v>
      </c>
      <c r="P137" t="str">
        <v>على رأس عمله</v>
      </c>
      <c r="Q137" t="str">
        <v>١٩-١٢-١٤٤٠</v>
      </c>
    </row>
    <row r="138">
      <c r="A138">
        <v>137</v>
      </c>
      <c r="B138" t="str">
        <v>4410016</v>
      </c>
      <c r="C138" t="str">
        <v>اميرة عثمان عبدون محمد</v>
      </c>
      <c r="D138" t="str">
        <v>aomohammed@tu.edu.sa</v>
      </c>
      <c r="E138" t="str">
        <v>558958186</v>
      </c>
      <c r="F138" t="str">
        <v>قسم الاقتصاد و التمويل</v>
      </c>
      <c r="G138" t="str">
        <v>طالبات</v>
      </c>
      <c r="H138" t="str">
        <v>استاذ مساعد</v>
      </c>
      <c r="L138" t="str">
        <v>بدون تخفيض نصاب</v>
      </c>
      <c r="M138" t="str">
        <v>بدون تخفيض نصاب</v>
      </c>
      <c r="N138">
        <f>IF(OR(ISNUMBER(SEARCH("معار",I138&amp;" "&amp;K138&amp;" "&amp;M138)),ISNUMBER(SEARCH("مجاز",I138&amp;" "&amp;K138&amp;" "&amp;M138)),ISNUMBER(SEARCH("مبتعث",I138&amp;" "&amp;K138&amp;" "&amp;M138))),0,IF(M138="الحد الأدنى",3,IF(M138="50%",ROUND(IF(H138="استاذ",10,IF(H138="استاذ مشارك",12,IF(H138="استاذ مساعد",14,16)))/2,0),IF(H138="استاذ",10,IF(H138="استاذ مشارك",12,IF(H138="استاذ مساعد",14,16))))))</f>
        <v>14</v>
      </c>
      <c r="O138" t="str">
        <v>108</v>
      </c>
      <c r="P138" t="str">
        <v>على رأس عمله</v>
      </c>
      <c r="Q138" t="str">
        <v>١١-٠١-١٤٤١</v>
      </c>
    </row>
    <row r="139">
      <c r="A139">
        <v>138</v>
      </c>
      <c r="B139" t="str">
        <v>4410063</v>
      </c>
      <c r="C139" t="str">
        <v>انغام بنت محرز البريك</v>
      </c>
      <c r="D139" t="str">
        <v>ambrayek@tu.edu.sa</v>
      </c>
      <c r="E139" t="str">
        <v>560753804</v>
      </c>
      <c r="F139" t="str">
        <v>قسم الاقتصاد و التمويل</v>
      </c>
      <c r="G139" t="str">
        <v>طالبات</v>
      </c>
      <c r="H139" t="str">
        <v>استاذ مساعد</v>
      </c>
      <c r="L139" t="str">
        <v>بدون تخفيض نصاب</v>
      </c>
      <c r="M139" t="str">
        <v>بدون تخفيض نصاب</v>
      </c>
      <c r="N139">
        <f>IF(OR(ISNUMBER(SEARCH("معار",I139&amp;" "&amp;K139&amp;" "&amp;M139)),ISNUMBER(SEARCH("مجاز",I139&amp;" "&amp;K139&amp;" "&amp;M139)),ISNUMBER(SEARCH("مبتعث",I139&amp;" "&amp;K139&amp;" "&amp;M139))),0,IF(M139="الحد الأدنى",3,IF(M139="50%",ROUND(IF(H139="استاذ",10,IF(H139="استاذ مشارك",12,IF(H139="استاذ مساعد",14,16)))/2,0),IF(H139="استاذ",10,IF(H139="استاذ مشارك",12,IF(H139="استاذ مساعد",14,16))))))</f>
        <v>14</v>
      </c>
      <c r="O139" t="str">
        <v>306</v>
      </c>
      <c r="P139" t="str">
        <v>على رأس عمله</v>
      </c>
      <c r="Q139" t="str">
        <v>٢٣-٠٤-١٤٤١</v>
      </c>
    </row>
    <row r="140">
      <c r="A140">
        <v>139</v>
      </c>
      <c r="B140" t="str">
        <v>4390237</v>
      </c>
      <c r="C140" t="str">
        <v>زكيه مرحوم شاهر الموسى العوفي</v>
      </c>
      <c r="D140" t="str">
        <v>zmofi@tu.edu.sa</v>
      </c>
      <c r="E140" t="str">
        <v>غير متوفر</v>
      </c>
      <c r="F140" t="str">
        <v>قسم الاقتصاد و التمويل</v>
      </c>
      <c r="G140" t="str">
        <v>طالبات</v>
      </c>
      <c r="H140" t="str">
        <v>محاضر</v>
      </c>
      <c r="L140" t="str">
        <v>بدون تخفيض نصاب</v>
      </c>
      <c r="M140" t="str">
        <v>بدون تخفيض نصاب</v>
      </c>
      <c r="N140">
        <f>IF(OR(ISNUMBER(SEARCH("معار",I140&amp;" "&amp;K140&amp;" "&amp;M140)),ISNUMBER(SEARCH("مجاز",I140&amp;" "&amp;K140&amp;" "&amp;M140)),ISNUMBER(SEARCH("مبتعث",I140&amp;" "&amp;K140&amp;" "&amp;M140))),0,IF(M140="الحد الأدنى",3,IF(M140="50%",ROUND(IF(H140="استاذ",10,IF(H140="استاذ مشارك",12,IF(H140="استاذ مساعد",14,16)))/2,0),IF(H140="استاذ",10,IF(H140="استاذ مشارك",12,IF(H140="استاذ مساعد",14,16))))))</f>
        <v>16</v>
      </c>
      <c r="O140" t="str">
        <v>310</v>
      </c>
      <c r="P140" t="str">
        <v>على رأس عمله</v>
      </c>
      <c r="Q140" t="str">
        <v>١٩-١١-١٤٣٩</v>
      </c>
    </row>
    <row r="141">
      <c r="A141">
        <v>140</v>
      </c>
      <c r="B141" t="str">
        <v>4330803</v>
      </c>
      <c r="C141" t="str">
        <v>رزان ابراهيم عاطي الطويرقي</v>
      </c>
      <c r="D141" t="str">
        <v>razan@tu.edu.sa</v>
      </c>
      <c r="E141" t="str">
        <v>غير متوفر</v>
      </c>
      <c r="F141" t="str">
        <v>قسم الاقتصاد و التمويل</v>
      </c>
      <c r="G141" t="str">
        <v>طالبات</v>
      </c>
      <c r="H141" t="str">
        <v>معيد</v>
      </c>
      <c r="L141" t="str">
        <v>بدون تخفيض نصاب</v>
      </c>
      <c r="M141" t="str">
        <v>بدون تخفيض نصاب</v>
      </c>
      <c r="N141">
        <f>IF(OR(ISNUMBER(SEARCH("معار",I141&amp;" "&amp;K141&amp;" "&amp;M141)),ISNUMBER(SEARCH("مجاز",I141&amp;" "&amp;K141&amp;" "&amp;M141)),ISNUMBER(SEARCH("مبتعث",I141&amp;" "&amp;K141&amp;" "&amp;M141))),0,IF(M141="الحد الأدنى",3,IF(M141="50%",ROUND(IF(H141="استاذ",10,IF(H141="استاذ مشارك",12,IF(H141="استاذ مساعد",14,16)))/2,0),IF(H141="استاذ",10,IF(H141="استاذ مشارك",12,IF(H141="استاذ مساعد",14,16))))))</f>
        <v>16</v>
      </c>
      <c r="O141" t="str">
        <v>309</v>
      </c>
      <c r="P141" t="str">
        <v>على رأس عمله</v>
      </c>
      <c r="Q141" t="str">
        <v>٢١-٠١-١٤٣٤</v>
      </c>
    </row>
    <row r="142">
      <c r="A142">
        <v>141</v>
      </c>
      <c r="B142" t="str">
        <v>4340446</v>
      </c>
      <c r="C142" t="str">
        <v>خديجة عواض زائد العتيبي</v>
      </c>
      <c r="D142" t="str">
        <v>khadeja.z@tu.edu.sa</v>
      </c>
      <c r="E142" t="str">
        <v>غير متوفر</v>
      </c>
      <c r="F142" t="str">
        <v>قسم الاقتصاد و التمويل</v>
      </c>
      <c r="G142" t="str">
        <v>طالبات</v>
      </c>
      <c r="H142" t="str">
        <v>معيد</v>
      </c>
      <c r="L142" t="str">
        <v>بدون تخفيض نصاب</v>
      </c>
      <c r="M142" t="str">
        <v>بدون تخفيض نصاب</v>
      </c>
      <c r="N142">
        <f>IF(OR(ISNUMBER(SEARCH("معار",I142&amp;" "&amp;K142&amp;" "&amp;M142)),ISNUMBER(SEARCH("مجاز",I142&amp;" "&amp;K142&amp;" "&amp;M142)),ISNUMBER(SEARCH("مبتعث",I142&amp;" "&amp;K142&amp;" "&amp;M142))),0,IF(M142="الحد الأدنى",3,IF(M142="50%",ROUND(IF(H142="استاذ",10,IF(H142="استاذ مشارك",12,IF(H142="استاذ مساعد",14,16)))/2,0),IF(H142="استاذ",10,IF(H142="استاذ مشارك",12,IF(H142="استاذ مساعد",14,16))))))</f>
        <v>16</v>
      </c>
      <c r="O142" t="str">
        <v>310</v>
      </c>
      <c r="P142" t="str">
        <v>على رأس عمله</v>
      </c>
      <c r="Q142" t="str">
        <v>٣-٠٦-١٤٣٥</v>
      </c>
    </row>
    <row r="143">
      <c r="A143">
        <v>142</v>
      </c>
      <c r="B143" t="str">
        <v>4340475</v>
      </c>
      <c r="C143" t="str">
        <v>سمية محمد ابراهيم مجلد</v>
      </c>
      <c r="D143" t="str">
        <v>S.mujallid@tu.edu.sa</v>
      </c>
      <c r="E143" t="str">
        <v>569220997</v>
      </c>
      <c r="F143" t="str">
        <v>قسم الاقتصاد و التمويل</v>
      </c>
      <c r="G143" t="str">
        <v>طالبات</v>
      </c>
      <c r="H143" t="str">
        <v>معيد</v>
      </c>
      <c r="L143" t="str">
        <v>بدون تخفيض نصاب</v>
      </c>
      <c r="M143" t="str">
        <v>بدون تخفيض نصاب</v>
      </c>
      <c r="N143">
        <f>IF(OR(ISNUMBER(SEARCH("معار",I143&amp;" "&amp;K143&amp;" "&amp;M143)),ISNUMBER(SEARCH("مجاز",I143&amp;" "&amp;K143&amp;" "&amp;M143)),ISNUMBER(SEARCH("مبتعث",I143&amp;" "&amp;K143&amp;" "&amp;M143))),0,IF(M143="الحد الأدنى",3,IF(M143="50%",ROUND(IF(H143="استاذ",10,IF(H143="استاذ مشارك",12,IF(H143="استاذ مساعد",14,16)))/2,0),IF(H143="استاذ",10,IF(H143="استاذ مشارك",12,IF(H143="استاذ مساعد",14,16))))))</f>
        <v>16</v>
      </c>
      <c r="O143" t="str">
        <v>310</v>
      </c>
      <c r="P143" t="str">
        <v>على رأس عمله</v>
      </c>
      <c r="Q143" t="str">
        <v>١٧-٠٦-١٤٣٥</v>
      </c>
    </row>
    <row r="144">
      <c r="A144">
        <v>143</v>
      </c>
      <c r="B144" t="str">
        <v>4350153</v>
      </c>
      <c r="C144" t="str">
        <v>وفاء محمد احمد الاسمري</v>
      </c>
      <c r="D144" t="str">
        <v>Wafaa.m@tu.edu.sa</v>
      </c>
      <c r="E144" t="str">
        <v>533907544</v>
      </c>
      <c r="F144" t="str">
        <v>قسم الاقتصاد و التمويل</v>
      </c>
      <c r="G144" t="str">
        <v>طالبات</v>
      </c>
      <c r="H144" t="str">
        <v>معيد</v>
      </c>
      <c r="L144" t="str">
        <v>بدون تخفيض نصاب</v>
      </c>
      <c r="M144" t="str">
        <v>بدون تخفيض نصاب</v>
      </c>
      <c r="N144">
        <f>IF(OR(ISNUMBER(SEARCH("معار",I144&amp;" "&amp;K144&amp;" "&amp;M144)),ISNUMBER(SEARCH("مجاز",I144&amp;" "&amp;K144&amp;" "&amp;M144)),ISNUMBER(SEARCH("مبتعث",I144&amp;" "&amp;K144&amp;" "&amp;M144))),0,IF(M144="الحد الأدنى",3,IF(M144="50%",ROUND(IF(H144="استاذ",10,IF(H144="استاذ مشارك",12,IF(H144="استاذ مساعد",14,16)))/2,0),IF(H144="استاذ",10,IF(H144="استاذ مشارك",12,IF(H144="استاذ مساعد",14,16))))))</f>
        <v>16</v>
      </c>
      <c r="O144" t="str">
        <v>119</v>
      </c>
      <c r="P144" t="str">
        <v>على رأس عمله</v>
      </c>
      <c r="Q144" t="str">
        <v>١-١٢-١٤٣٥</v>
      </c>
    </row>
    <row r="145">
      <c r="A145">
        <v>144</v>
      </c>
      <c r="B145" t="str">
        <v>4360047</v>
      </c>
      <c r="C145" t="str">
        <v>لجين خالد فيصل الحجري النمري</v>
      </c>
      <c r="D145" t="str">
        <v>Lujain.k@tu.edu.sa</v>
      </c>
      <c r="E145" t="str">
        <v>554718080</v>
      </c>
      <c r="F145" t="str">
        <v>قسم الاقتصاد و التمويل</v>
      </c>
      <c r="G145" t="str">
        <v>طالبات</v>
      </c>
      <c r="H145" t="str">
        <v>معيد</v>
      </c>
      <c r="L145" t="str">
        <v>بدون تخفيض نصاب</v>
      </c>
      <c r="M145" t="str">
        <v>بدون تخفيض نصاب</v>
      </c>
      <c r="N145">
        <f>IF(OR(ISNUMBER(SEARCH("معار",I145&amp;" "&amp;K145&amp;" "&amp;M145)),ISNUMBER(SEARCH("مجاز",I145&amp;" "&amp;K145&amp;" "&amp;M145)),ISNUMBER(SEARCH("مبتعث",I145&amp;" "&amp;K145&amp;" "&amp;M145))),0,IF(M145="الحد الأدنى",3,IF(M145="50%",ROUND(IF(H145="استاذ",10,IF(H145="استاذ مشارك",12,IF(H145="استاذ مساعد",14,16)))/2,0),IF(H145="استاذ",10,IF(H145="استاذ مشارك",12,IF(H145="استاذ مساعد",14,16))))))</f>
        <v>16</v>
      </c>
      <c r="O145" t="str">
        <v>119</v>
      </c>
      <c r="P145" t="str">
        <v>على رأس عمله</v>
      </c>
      <c r="Q145" t="str">
        <v>١٢-٠٢-١٤٣٦</v>
      </c>
    </row>
    <row r="146">
      <c r="A146">
        <v>145</v>
      </c>
      <c r="B146" t="str">
        <v>4370091</v>
      </c>
      <c r="C146" t="str">
        <v>تهاني دخيل الله عطوان الزقله الذبياني</v>
      </c>
      <c r="D146" t="str">
        <v>tahani.d@tu.edu.sa</v>
      </c>
      <c r="E146" t="str">
        <v>غير متوفر</v>
      </c>
      <c r="F146" t="str">
        <v>قسم الاقتصاد و التمويل</v>
      </c>
      <c r="G146" t="str">
        <v>طالبات</v>
      </c>
      <c r="H146" t="str">
        <v>معيد</v>
      </c>
      <c r="L146" t="str">
        <v>بدون تخفيض نصاب</v>
      </c>
      <c r="M146" t="str">
        <v>بدون تخفيض نصاب</v>
      </c>
      <c r="N146">
        <f>IF(OR(ISNUMBER(SEARCH("معار",I146&amp;" "&amp;K146&amp;" "&amp;M146)),ISNUMBER(SEARCH("مجاز",I146&amp;" "&amp;K146&amp;" "&amp;M146)),ISNUMBER(SEARCH("مبتعث",I146&amp;" "&amp;K146&amp;" "&amp;M146))),0,IF(M146="الحد الأدنى",3,IF(M146="50%",ROUND(IF(H146="استاذ",10,IF(H146="استاذ مشارك",12,IF(H146="استاذ مساعد",14,16)))/2,0),IF(H146="استاذ",10,IF(H146="استاذ مشارك",12,IF(H146="استاذ مساعد",14,16))))))</f>
        <v>16</v>
      </c>
      <c r="O146" t="str">
        <v>107</v>
      </c>
      <c r="P146" t="str">
        <v>على رأس عمله</v>
      </c>
      <c r="Q146" t="str">
        <v>٢٣-٠٥-١٤٣٧</v>
      </c>
    </row>
    <row r="147">
      <c r="A147">
        <v>146</v>
      </c>
      <c r="B147" t="str">
        <v>4380038</v>
      </c>
      <c r="C147" t="str">
        <v>ابرار سعد محمد الحربي</v>
      </c>
      <c r="D147" t="str">
        <v>asharbi@tu.edu.sa</v>
      </c>
      <c r="F147" t="str">
        <v>قسم الاقتصاد و التمويل</v>
      </c>
      <c r="G147" t="str">
        <v>طالبات</v>
      </c>
      <c r="H147" t="str">
        <v>معيد</v>
      </c>
      <c r="L147" t="str">
        <v>بدون تخفيض نصاب</v>
      </c>
      <c r="M147" t="str">
        <v>بدون تخفيض نصاب</v>
      </c>
      <c r="N147">
        <f>IF(OR(ISNUMBER(SEARCH("معار",I147&amp;" "&amp;K147&amp;" "&amp;M147)),ISNUMBER(SEARCH("مجاز",I147&amp;" "&amp;K147&amp;" "&amp;M147)),ISNUMBER(SEARCH("مبتعث",I147&amp;" "&amp;K147&amp;" "&amp;M147))),0,IF(M147="الحد الأدنى",3,IF(M147="50%",ROUND(IF(H147="استاذ",10,IF(H147="استاذ مشارك",12,IF(H147="استاذ مساعد",14,16)))/2,0),IF(H147="استاذ",10,IF(H147="استاذ مشارك",12,IF(H147="استاذ مساعد",14,16))))))</f>
        <v>16</v>
      </c>
      <c r="O147" t="str">
        <v>107</v>
      </c>
      <c r="P147" t="str">
        <v>على رأس عمله</v>
      </c>
      <c r="Q147" t="str">
        <v>١٣-٠٦-١٤٣٨</v>
      </c>
    </row>
    <row r="148">
      <c r="A148">
        <v>147</v>
      </c>
      <c r="B148" t="str">
        <v>4380044</v>
      </c>
      <c r="C148" t="str">
        <v>اشواق علي طامي العتيبي</v>
      </c>
      <c r="D148" t="str">
        <v>ashotaibi@tu.edu.sa</v>
      </c>
      <c r="E148" t="str">
        <v>غير متوفر</v>
      </c>
      <c r="F148" t="str">
        <v>قسم الاقتصاد و التمويل</v>
      </c>
      <c r="G148" t="str">
        <v>طالبات</v>
      </c>
      <c r="H148" t="str">
        <v>معيد</v>
      </c>
      <c r="L148" t="str">
        <v>بدون تخفيض نصاب</v>
      </c>
      <c r="M148" t="str">
        <v>بدون تخفيض نصاب</v>
      </c>
      <c r="N148">
        <f>IF(OR(ISNUMBER(SEARCH("معار",I148&amp;" "&amp;K148&amp;" "&amp;M148)),ISNUMBER(SEARCH("مجاز",I148&amp;" "&amp;K148&amp;" "&amp;M148)),ISNUMBER(SEARCH("مبتعث",I148&amp;" "&amp;K148&amp;" "&amp;M148))),0,IF(M148="الحد الأدنى",3,IF(M148="50%",ROUND(IF(H148="استاذ",10,IF(H148="استاذ مشارك",12,IF(H148="استاذ مساعد",14,16)))/2,0),IF(H148="استاذ",10,IF(H148="استاذ مشارك",12,IF(H148="استاذ مساعد",14,16))))))</f>
        <v>16</v>
      </c>
      <c r="O148" t="str">
        <v>107</v>
      </c>
      <c r="P148" t="str">
        <v>على رأس عمله</v>
      </c>
      <c r="Q148" t="str">
        <v>١٥-٠٦-١٤٣٨</v>
      </c>
    </row>
    <row r="149">
      <c r="A149">
        <v>148</v>
      </c>
      <c r="B149" t="str">
        <v>4300198</v>
      </c>
      <c r="C149" t="str">
        <v>بشرى جمال بكر عمر</v>
      </c>
      <c r="F149" t="str">
        <v>الاقتصاد والتمويل</v>
      </c>
      <c r="G149" t="str">
        <v>طالبات</v>
      </c>
      <c r="H149" t="str">
        <v>معيد</v>
      </c>
      <c r="L149" t="str">
        <v>بدون تخفيض نصاب</v>
      </c>
      <c r="M149" t="str">
        <v>بدون تخفيض نصاب</v>
      </c>
      <c r="N149">
        <f>IF(OR(ISNUMBER(SEARCH("معار",I149&amp;" "&amp;K149&amp;" "&amp;M149)),ISNUMBER(SEARCH("مجاز",I149&amp;" "&amp;K149&amp;" "&amp;M149)),ISNUMBER(SEARCH("مبتعث",I149&amp;" "&amp;K149&amp;" "&amp;M149))),0,IF(M149="الحد الأدنى",3,IF(M149="50%",ROUND(IF(H149="استاذ",10,IF(H149="استاذ مشارك",12,IF(H149="استاذ مساعد",14,16)))/2,0),IF(H149="استاذ",10,IF(H149="استاذ مشارك",12,IF(H149="استاذ مساعد",14,16))))))</f>
        <v>16</v>
      </c>
      <c r="P149" t="str">
        <v>موقوف الراتب</v>
      </c>
      <c r="Q149" t="str">
        <v xml:space="preserve"> ١٨-٠٩-١٤٣٠</v>
      </c>
    </row>
    <row r="150">
      <c r="A150">
        <v>149</v>
      </c>
      <c r="B150" t="str">
        <v>4310076</v>
      </c>
      <c r="C150" t="str">
        <v>ولاء عمر معتوق بارفعه</v>
      </c>
      <c r="D150" t="str">
        <v>Wala.o@tu.edu.sa</v>
      </c>
      <c r="E150" t="str">
        <v>593349333</v>
      </c>
      <c r="F150" t="str">
        <v>قسم نظم المعلومات الادارية</v>
      </c>
      <c r="G150" t="str">
        <v>طالبات</v>
      </c>
      <c r="H150" t="str">
        <v>استاذ مساعد</v>
      </c>
      <c r="I150" t="str">
        <v>وكيلة كلية</v>
      </c>
      <c r="J150" t="str">
        <v>وكيلة كلية إدارة الأعمال</v>
      </c>
      <c r="L150" t="str">
        <v>معفي من الارشاد</v>
      </c>
      <c r="M150" t="str">
        <v>الحد الأدنى</v>
      </c>
      <c r="N150">
        <f>IF(OR(ISNUMBER(SEARCH("معار",I150&amp;" "&amp;K150&amp;" "&amp;M150)),ISNUMBER(SEARCH("مجاز",I150&amp;" "&amp;K150&amp;" "&amp;M150)),ISNUMBER(SEARCH("مبتعث",I150&amp;" "&amp;K150&amp;" "&amp;M150))),0,IF(M150="الحد الأدنى",3,IF(M150="50%",ROUND(IF(H150="استاذ",10,IF(H150="استاذ مشارك",12,IF(H150="استاذ مساعد",14,16)))/2,0),IF(H150="استاذ",10,IF(H150="استاذ مشارك",12,IF(H150="استاذ مساعد",14,16))))))</f>
        <v>3</v>
      </c>
      <c r="P150" t="str">
        <v>على رأس عمله</v>
      </c>
      <c r="Q150" t="str">
        <v>٢٣-٠٢-١٤٣١</v>
      </c>
    </row>
    <row r="151">
      <c r="A151">
        <v>150</v>
      </c>
      <c r="B151" t="str">
        <v>4360029</v>
      </c>
      <c r="C151" t="str">
        <v>الجوهرة عبدالعزيز داود المطرف</v>
      </c>
      <c r="D151" t="str">
        <v>jamtrf@tu.edu.sa</v>
      </c>
      <c r="E151" t="str">
        <v>550615060</v>
      </c>
      <c r="F151" t="str">
        <v>قسم نظم المعلومات الادارية</v>
      </c>
      <c r="G151" t="str">
        <v>طالبات</v>
      </c>
      <c r="H151" t="str">
        <v>استاذ مساعد</v>
      </c>
      <c r="I151" t="str">
        <v>رئيس قسم</v>
      </c>
      <c r="J151" t="str">
        <v>رئيس قسم نظم المعلومات الإدارية</v>
      </c>
      <c r="L151" t="str">
        <v>معفي من الارشاد</v>
      </c>
      <c r="M151" t="str">
        <v>الحد الأدنى</v>
      </c>
      <c r="N151">
        <f>IF(OR(ISNUMBER(SEARCH("معار",I151&amp;" "&amp;K151&amp;" "&amp;M151)),ISNUMBER(SEARCH("مجاز",I151&amp;" "&amp;K151&amp;" "&amp;M151)),ISNUMBER(SEARCH("مبتعث",I151&amp;" "&amp;K151&amp;" "&amp;M151))),0,IF(M151="الحد الأدنى",3,IF(M151="50%",ROUND(IF(H151="استاذ",10,IF(H151="استاذ مشارك",12,IF(H151="استاذ مساعد",14,16)))/2,0),IF(H151="استاذ",10,IF(H151="استاذ مشارك",12,IF(H151="استاذ مساعد",14,16))))))</f>
        <v>3</v>
      </c>
      <c r="O151" t="str">
        <v>54</v>
      </c>
      <c r="P151" t="str">
        <v>على رأس عمله</v>
      </c>
      <c r="Q151" t="str">
        <v>٣-٠٢-١٤٣٦</v>
      </c>
    </row>
    <row r="152">
      <c r="A152">
        <v>151</v>
      </c>
      <c r="B152" t="str">
        <v>4330069</v>
      </c>
      <c r="C152" t="str">
        <v>إيمان سفر عباد المطيري</v>
      </c>
      <c r="D152" t="str">
        <v>eiman.s@tu.edu.sa</v>
      </c>
      <c r="E152" t="str">
        <v>533929966</v>
      </c>
      <c r="F152" t="str">
        <v>قسم نظم المعلومات الادارية</v>
      </c>
      <c r="G152" t="str">
        <v>طالبات</v>
      </c>
      <c r="H152" t="str">
        <v>استاذ مساعد</v>
      </c>
      <c r="I152" t="str">
        <v>امين قسم</v>
      </c>
      <c r="J152" t="str">
        <v>أمينة قسم نظم المعلومات الإدارية</v>
      </c>
      <c r="L152" t="str">
        <v>حالات خاصة</v>
      </c>
      <c r="M152" t="str">
        <v>بدون تخفيض نصاب</v>
      </c>
      <c r="N152">
        <f>IF(OR(ISNUMBER(SEARCH("معار",I152&amp;" "&amp;K152&amp;" "&amp;M152)),ISNUMBER(SEARCH("مجاز",I152&amp;" "&amp;K152&amp;" "&amp;M152)),ISNUMBER(SEARCH("مبتعث",I152&amp;" "&amp;K152&amp;" "&amp;M152))),0,IF(M152="الحد الأدنى",3,IF(M152="50%",ROUND(IF(H152="استاذ",10,IF(H152="استاذ مشارك",12,IF(H152="استاذ مساعد",14,16)))/2,0),IF(H152="استاذ",10,IF(H152="استاذ مشارك",12,IF(H152="استاذ مساعد",14,16))))))</f>
        <v>14</v>
      </c>
      <c r="O152" t="str">
        <v>324</v>
      </c>
      <c r="P152" t="str">
        <v>على رأس عمله</v>
      </c>
      <c r="Q152" t="str">
        <v>٥-٠٣-١٤٣٣</v>
      </c>
    </row>
    <row r="153">
      <c r="A153">
        <v>152</v>
      </c>
      <c r="B153" t="str">
        <v>4340032</v>
      </c>
      <c r="C153" t="str">
        <v>آلاء عمر معتوق أحمد بارفعه</v>
      </c>
      <c r="D153" t="str">
        <v>aobarefah@tu.edu.sa</v>
      </c>
      <c r="E153" t="str">
        <v>540045870</v>
      </c>
      <c r="F153" t="str">
        <v>قسم نظم المعلومات الادارية</v>
      </c>
      <c r="G153" t="str">
        <v>طالبات</v>
      </c>
      <c r="H153" t="str">
        <v>استاذ مساعد</v>
      </c>
      <c r="I153" t="str">
        <v>رئيس وحدة</v>
      </c>
      <c r="J153" t="str">
        <v>رئيس وحدة الارشاد الاكاديمي والخريجين</v>
      </c>
      <c r="L153" t="str">
        <v>معفي من الارشاد</v>
      </c>
      <c r="M153" t="str">
        <v>بدون تخفيض نصاب</v>
      </c>
      <c r="N153">
        <f>IF(OR(ISNUMBER(SEARCH("معار",I153&amp;" "&amp;K153&amp;" "&amp;M153)),ISNUMBER(SEARCH("مجاز",I153&amp;" "&amp;K153&amp;" "&amp;M153)),ISNUMBER(SEARCH("مبتعث",I153&amp;" "&amp;K153&amp;" "&amp;M153))),0,IF(M153="الحد الأدنى",3,IF(M153="50%",ROUND(IF(H153="استاذ",10,IF(H153="استاذ مشارك",12,IF(H153="استاذ مساعد",14,16)))/2,0),IF(H153="استاذ",10,IF(H153="استاذ مشارك",12,IF(H153="استاذ مساعد",14,16))))))</f>
        <v>14</v>
      </c>
      <c r="P153" t="str">
        <v>على رأس عمله</v>
      </c>
      <c r="Q153" t="str">
        <v>١-٠٥-١٤٣٤</v>
      </c>
    </row>
    <row r="154">
      <c r="A154">
        <v>153</v>
      </c>
      <c r="B154" t="str">
        <v>4320009</v>
      </c>
      <c r="C154" t="str">
        <v>دلال مفرح علي العمري</v>
      </c>
      <c r="D154" t="str">
        <v>d.mafarh@tu.edu.sa</v>
      </c>
      <c r="E154" t="str">
        <v>533330716</v>
      </c>
      <c r="F154" t="str">
        <v>قسم نظم المعلومات الادارية</v>
      </c>
      <c r="G154" t="str">
        <v>طالبات</v>
      </c>
      <c r="H154" t="str">
        <v>معيد</v>
      </c>
      <c r="I154" t="str">
        <v>منسق وحدة</v>
      </c>
      <c r="J154" t="str">
        <v>منسقة قسم نظم المعلومات الإدارية لوحدة الإرشاد الأكاديمي والخريجين</v>
      </c>
      <c r="L154" t="str">
        <v>50%</v>
      </c>
      <c r="M154" t="str">
        <v>بدون تخفيض نصاب</v>
      </c>
      <c r="N154">
        <f>IF(OR(ISNUMBER(SEARCH("معار",I154&amp;" "&amp;K154&amp;" "&amp;M154)),ISNUMBER(SEARCH("مجاز",I154&amp;" "&amp;K154&amp;" "&amp;M154)),ISNUMBER(SEARCH("مبتعث",I154&amp;" "&amp;K154&amp;" "&amp;M154))),0,IF(M154="الحد الأدنى",3,IF(M154="50%",ROUND(IF(H154="استاذ",10,IF(H154="استاذ مشارك",12,IF(H154="استاذ مساعد",14,16)))/2,0),IF(H154="استاذ",10,IF(H154="استاذ مشارك",12,IF(H154="استاذ مساعد",14,16))))))</f>
        <v>16</v>
      </c>
      <c r="O154" t="str">
        <v>323</v>
      </c>
      <c r="P154" t="str">
        <v>على رأس عمله</v>
      </c>
      <c r="Q154" t="str">
        <v>٢٦-٠١-١٤٣٢</v>
      </c>
    </row>
    <row r="155">
      <c r="A155">
        <v>154</v>
      </c>
      <c r="B155" t="str">
        <v>4270103</v>
      </c>
      <c r="C155" t="str">
        <v>لمياء سعد أحمد الحازمي</v>
      </c>
      <c r="D155" t="str">
        <v>Lamia.s@tu.edu.sa</v>
      </c>
      <c r="E155" t="str">
        <v>554631779</v>
      </c>
      <c r="F155" t="str">
        <v>قسم نظم المعلومات الادارية</v>
      </c>
      <c r="G155" t="str">
        <v>طالبات</v>
      </c>
      <c r="H155" t="str">
        <v>استاذ مشارك</v>
      </c>
      <c r="L155" t="str">
        <v>بدون تخفيض نصاب</v>
      </c>
      <c r="M155" t="str">
        <v>بدون تخفيض نصاب</v>
      </c>
      <c r="N155">
        <f>IF(OR(ISNUMBER(SEARCH("معار",I155&amp;" "&amp;K155&amp;" "&amp;M155)),ISNUMBER(SEARCH("مجاز",I155&amp;" "&amp;K155&amp;" "&amp;M155)),ISNUMBER(SEARCH("مبتعث",I155&amp;" "&amp;K155&amp;" "&amp;M155))),0,IF(M155="الحد الأدنى",3,IF(M155="50%",ROUND(IF(H155="استاذ",10,IF(H155="استاذ مشارك",12,IF(H155="استاذ مساعد",14,16)))/2,0),IF(H155="استاذ",10,IF(H155="استاذ مشارك",12,IF(H155="استاذ مساعد",14,16))))))</f>
        <v>12</v>
      </c>
      <c r="O155" t="str">
        <v>326</v>
      </c>
      <c r="P155" t="str">
        <v>على رأس عمله</v>
      </c>
      <c r="Q155" t="str">
        <v>٢٣-٠٧-١٤٢٨</v>
      </c>
    </row>
    <row r="156">
      <c r="A156">
        <v>155</v>
      </c>
      <c r="B156" t="str">
        <v>4270193</v>
      </c>
      <c r="C156" t="str">
        <v>مريم معطي عطيان الطلحي</v>
      </c>
      <c r="D156" t="str">
        <v>Marem.m@tu.edu.sa</v>
      </c>
      <c r="E156" t="str">
        <v>555791672</v>
      </c>
      <c r="F156" t="str">
        <v>قسم نظم المعلومات الادارية</v>
      </c>
      <c r="G156" t="str">
        <v>طالبات</v>
      </c>
      <c r="H156" t="str">
        <v>استاذ مشارك</v>
      </c>
      <c r="L156" t="str">
        <v>بدون تخفيض نصاب</v>
      </c>
      <c r="M156" t="str">
        <v>بدون تخفيض نصاب</v>
      </c>
      <c r="N156">
        <f>IF(OR(ISNUMBER(SEARCH("معار",I156&amp;" "&amp;K156&amp;" "&amp;M156)),ISNUMBER(SEARCH("مجاز",I156&amp;" "&amp;K156&amp;" "&amp;M156)),ISNUMBER(SEARCH("مبتعث",I156&amp;" "&amp;K156&amp;" "&amp;M156))),0,IF(M156="الحد الأدنى",3,IF(M156="50%",ROUND(IF(H156="استاذ",10,IF(H156="استاذ مشارك",12,IF(H156="استاذ مساعد",14,16)))/2,0),IF(H156="استاذ",10,IF(H156="استاذ مشارك",12,IF(H156="استاذ مساعد",14,16))))))</f>
        <v>12</v>
      </c>
      <c r="O156" t="str">
        <v>327</v>
      </c>
      <c r="P156" t="str">
        <v>على رأس عمله</v>
      </c>
      <c r="Q156" t="str">
        <v>١٦-٠٨-١٤٢٨</v>
      </c>
    </row>
    <row r="157">
      <c r="A157">
        <v>156</v>
      </c>
      <c r="B157" t="str">
        <v>4270194</v>
      </c>
      <c r="C157" t="str">
        <v>لطيفه سعد عبد الله الزهراني</v>
      </c>
      <c r="D157" t="str">
        <v>lszahrani@tu.edu.sa</v>
      </c>
      <c r="E157" t="str">
        <v>506710380</v>
      </c>
      <c r="F157" t="str">
        <v>قسم نظم المعلومات الادارية</v>
      </c>
      <c r="G157" t="str">
        <v>طالبات</v>
      </c>
      <c r="H157" t="str">
        <v>استاذ مشارك</v>
      </c>
      <c r="L157" t="str">
        <v>بدون تخفيض نصاب</v>
      </c>
      <c r="M157" t="str">
        <v>بدون تخفيض نصاب</v>
      </c>
      <c r="N157">
        <f>IF(OR(ISNUMBER(SEARCH("معار",I157&amp;" "&amp;K157&amp;" "&amp;M157)),ISNUMBER(SEARCH("مجاز",I157&amp;" "&amp;K157&amp;" "&amp;M157)),ISNUMBER(SEARCH("مبتعث",I157&amp;" "&amp;K157&amp;" "&amp;M157))),0,IF(M157="الحد الأدنى",3,IF(M157="50%",ROUND(IF(H157="استاذ",10,IF(H157="استاذ مشارك",12,IF(H157="استاذ مساعد",14,16)))/2,0),IF(H157="استاذ",10,IF(H157="استاذ مشارك",12,IF(H157="استاذ مساعد",14,16))))))</f>
        <v>12</v>
      </c>
      <c r="O157" t="str">
        <v>326</v>
      </c>
      <c r="P157" t="str">
        <v>على رأس عمله</v>
      </c>
      <c r="Q157" t="str">
        <v>١٦-٠٨-١٤٢٨</v>
      </c>
    </row>
    <row r="158">
      <c r="A158">
        <v>157</v>
      </c>
      <c r="B158" t="str">
        <v>4280545</v>
      </c>
      <c r="C158" t="str">
        <v>اماني مصطفي يوسف غزاوي</v>
      </c>
      <c r="D158" t="str">
        <v>amghazzawi@tu.edu.sa</v>
      </c>
      <c r="E158" t="str">
        <v>590588738</v>
      </c>
      <c r="F158" t="str">
        <v>قسم نظم المعلومات الادارية</v>
      </c>
      <c r="G158" t="str">
        <v>طالبات</v>
      </c>
      <c r="H158" t="str">
        <v>استاذ مساعد</v>
      </c>
      <c r="L158" t="str">
        <v>بدون تخفيض نصاب</v>
      </c>
      <c r="M158" t="str">
        <v>بدون تخفيض نصاب</v>
      </c>
      <c r="N158">
        <f>IF(OR(ISNUMBER(SEARCH("معار",I158&amp;" "&amp;K158&amp;" "&amp;M158)),ISNUMBER(SEARCH("مجاز",I158&amp;" "&amp;K158&amp;" "&amp;M158)),ISNUMBER(SEARCH("مبتعث",I158&amp;" "&amp;K158&amp;" "&amp;M158))),0,IF(M158="الحد الأدنى",3,IF(M158="50%",ROUND(IF(H158="استاذ",10,IF(H158="استاذ مشارك",12,IF(H158="استاذ مساعد",14,16)))/2,0),IF(H158="استاذ",10,IF(H158="استاذ مشارك",12,IF(H158="استاذ مساعد",14,16))))))</f>
        <v>14</v>
      </c>
      <c r="O158" t="str">
        <v>326</v>
      </c>
      <c r="P158" t="str">
        <v>على رأس عمله</v>
      </c>
      <c r="Q158" t="str">
        <v>٢٣-٠٧-١٤٢٩</v>
      </c>
    </row>
    <row r="159">
      <c r="A159">
        <v>158</v>
      </c>
      <c r="B159" t="str">
        <v>4300190</v>
      </c>
      <c r="C159" t="str">
        <v>نوف محمد سعد الظاهري</v>
      </c>
      <c r="D159" t="str">
        <v>m.nonf@tu.edu.sa</v>
      </c>
      <c r="E159" t="str">
        <v>541474416</v>
      </c>
      <c r="F159" t="str">
        <v>قسم نظم المعلومات الادارية</v>
      </c>
      <c r="G159" t="str">
        <v>طالبات</v>
      </c>
      <c r="H159" t="str">
        <v>استاذ مساعد</v>
      </c>
      <c r="L159" t="str">
        <v>بدون تخفيض نصاب</v>
      </c>
      <c r="M159" t="str">
        <v>بدون تخفيض نصاب</v>
      </c>
      <c r="N159">
        <f>IF(OR(ISNUMBER(SEARCH("معار",I159&amp;" "&amp;K159&amp;" "&amp;M159)),ISNUMBER(SEARCH("مجاز",I159&amp;" "&amp;K159&amp;" "&amp;M159)),ISNUMBER(SEARCH("مبتعث",I159&amp;" "&amp;K159&amp;" "&amp;M159))),0,IF(M159="الحد الأدنى",3,IF(M159="50%",ROUND(IF(H159="استاذ",10,IF(H159="استاذ مشارك",12,IF(H159="استاذ مساعد",14,16)))/2,0),IF(H159="استاذ",10,IF(H159="استاذ مشارك",12,IF(H159="استاذ مساعد",14,16))))))</f>
        <v>14</v>
      </c>
      <c r="O159" t="str">
        <v>325</v>
      </c>
      <c r="P159" t="str">
        <v>على رأس عمله</v>
      </c>
      <c r="Q159" t="str">
        <v>١١-٠٩-١٤٣٠</v>
      </c>
    </row>
    <row r="160">
      <c r="A160">
        <v>159</v>
      </c>
      <c r="B160" t="str">
        <v>4310081</v>
      </c>
      <c r="C160" t="str">
        <v>نجود محمد جويعد الحجي السفياني</v>
      </c>
      <c r="D160" t="str">
        <v>ms.alsufyani@tu.edu.sa</v>
      </c>
      <c r="E160" t="str">
        <v>562224204</v>
      </c>
      <c r="F160" t="str">
        <v>قسم نظم المعلومات الادارية</v>
      </c>
      <c r="G160" t="str">
        <v>طالبات</v>
      </c>
      <c r="H160" t="str">
        <v>استاذ مساعد</v>
      </c>
      <c r="L160" t="str">
        <v>بدون تخفيض نصاب</v>
      </c>
      <c r="M160" t="str">
        <v>بدون تخفيض نصاب</v>
      </c>
      <c r="N160">
        <f>IF(OR(ISNUMBER(SEARCH("معار",I160&amp;" "&amp;K160&amp;" "&amp;M160)),ISNUMBER(SEARCH("مجاز",I160&amp;" "&amp;K160&amp;" "&amp;M160)),ISNUMBER(SEARCH("مبتعث",I160&amp;" "&amp;K160&amp;" "&amp;M160))),0,IF(M160="الحد الأدنى",3,IF(M160="50%",ROUND(IF(H160="استاذ",10,IF(H160="استاذ مشارك",12,IF(H160="استاذ مساعد",14,16)))/2,0),IF(H160="استاذ",10,IF(H160="استاذ مشارك",12,IF(H160="استاذ مساعد",14,16))))))</f>
        <v>14</v>
      </c>
      <c r="O160" t="str">
        <v>324</v>
      </c>
      <c r="P160" t="str">
        <v>على رأس عمله</v>
      </c>
      <c r="Q160" t="str">
        <v>٢٤-٠٢-١٤٣١</v>
      </c>
    </row>
    <row r="161">
      <c r="A161">
        <v>160</v>
      </c>
      <c r="B161" t="str">
        <v>4310498</v>
      </c>
      <c r="C161" t="str">
        <v>منى ماجد محمد اليامي</v>
      </c>
      <c r="D161" t="str">
        <v>m.mona@tu.edu.sa</v>
      </c>
      <c r="E161" t="str">
        <v>500454812</v>
      </c>
      <c r="F161" t="str">
        <v>قسم نظم المعلومات الادارية</v>
      </c>
      <c r="G161" t="str">
        <v>طالبات</v>
      </c>
      <c r="H161" t="str">
        <v>استاذ مساعد</v>
      </c>
      <c r="L161" t="str">
        <v>بدون تخفيض نصاب</v>
      </c>
      <c r="M161" t="str">
        <v>بدون تخفيض نصاب</v>
      </c>
      <c r="N161">
        <f>IF(OR(ISNUMBER(SEARCH("معار",I161&amp;" "&amp;K161&amp;" "&amp;M161)),ISNUMBER(SEARCH("مجاز",I161&amp;" "&amp;K161&amp;" "&amp;M161)),ISNUMBER(SEARCH("مبتعث",I161&amp;" "&amp;K161&amp;" "&amp;M161))),0,IF(M161="الحد الأدنى",3,IF(M161="50%",ROUND(IF(H161="استاذ",10,IF(H161="استاذ مشارك",12,IF(H161="استاذ مساعد",14,16)))/2,0),IF(H161="استاذ",10,IF(H161="استاذ مشارك",12,IF(H161="استاذ مساعد",14,16))))))</f>
        <v>14</v>
      </c>
      <c r="O161" t="str">
        <v>324</v>
      </c>
      <c r="P161" t="str">
        <v>على رأس عمله</v>
      </c>
      <c r="Q161" t="str">
        <v>٢٣-١١-١٤٣١</v>
      </c>
    </row>
    <row r="162">
      <c r="A162">
        <v>161</v>
      </c>
      <c r="B162" t="str">
        <v>4330807</v>
      </c>
      <c r="C162" t="str">
        <v>هناء علي ظافر القرني</v>
      </c>
      <c r="D162" t="str">
        <v>h.alqrni@tu.edu.sa</v>
      </c>
      <c r="E162" t="str">
        <v>568333393</v>
      </c>
      <c r="F162" t="str">
        <v>قسم نظم المعلومات الادارية</v>
      </c>
      <c r="G162" t="str">
        <v>طالبات</v>
      </c>
      <c r="H162" t="str">
        <v>استاذ مساعد</v>
      </c>
      <c r="L162" t="str">
        <v>بدون تخفيض نصاب</v>
      </c>
      <c r="M162" t="str">
        <v>بدون تخفيض نصاب</v>
      </c>
      <c r="N162">
        <f>IF(OR(ISNUMBER(SEARCH("معار",I162&amp;" "&amp;K162&amp;" "&amp;M162)),ISNUMBER(SEARCH("مجاز",I162&amp;" "&amp;K162&amp;" "&amp;M162)),ISNUMBER(SEARCH("مبتعث",I162&amp;" "&amp;K162&amp;" "&amp;M162))),0,IF(M162="الحد الأدنى",3,IF(M162="50%",ROUND(IF(H162="استاذ",10,IF(H162="استاذ مشارك",12,IF(H162="استاذ مساعد",14,16)))/2,0),IF(H162="استاذ",10,IF(H162="استاذ مشارك",12,IF(H162="استاذ مساعد",14,16))))))</f>
        <v>14</v>
      </c>
      <c r="O162" t="str">
        <v>323</v>
      </c>
      <c r="P162" t="str">
        <v>على رأس عمله</v>
      </c>
      <c r="Q162" t="str">
        <v>٢١-٠١-١٤٣٤</v>
      </c>
    </row>
    <row r="163">
      <c r="A163">
        <v>162</v>
      </c>
      <c r="B163" t="str">
        <v>4340471</v>
      </c>
      <c r="C163" t="str">
        <v>سعاد عبدالله صالح المالكي</v>
      </c>
      <c r="D163" t="str">
        <v>Souad.s@tu.edu.sa</v>
      </c>
      <c r="E163" t="str">
        <v>563280233</v>
      </c>
      <c r="F163" t="str">
        <v>قسم نظم المعلومات الادارية</v>
      </c>
      <c r="G163" t="str">
        <v>طالبات</v>
      </c>
      <c r="H163" t="str">
        <v>استاذ مساعد</v>
      </c>
      <c r="L163" t="str">
        <v>بدون تخفيض نصاب</v>
      </c>
      <c r="M163" t="str">
        <v>بدون تخفيض نصاب</v>
      </c>
      <c r="N163">
        <f>IF(OR(ISNUMBER(SEARCH("معار",I163&amp;" "&amp;K163&amp;" "&amp;M163)),ISNUMBER(SEARCH("مجاز",I163&amp;" "&amp;K163&amp;" "&amp;M163)),ISNUMBER(SEARCH("مبتعث",I163&amp;" "&amp;K163&amp;" "&amp;M163))),0,IF(M163="الحد الأدنى",3,IF(M163="50%",ROUND(IF(H163="استاذ",10,IF(H163="استاذ مشارك",12,IF(H163="استاذ مساعد",14,16)))/2,0),IF(H163="استاذ",10,IF(H163="استاذ مشارك",12,IF(H163="استاذ مساعد",14,16))))))</f>
        <v>14</v>
      </c>
      <c r="O163" t="str">
        <v>325</v>
      </c>
      <c r="P163" t="str">
        <v>على رأس عمله</v>
      </c>
      <c r="Q163" t="str">
        <v>١٤-٠٦-١٤٣٥</v>
      </c>
    </row>
    <row r="164">
      <c r="A164">
        <v>163</v>
      </c>
      <c r="B164" t="str">
        <v>4330812</v>
      </c>
      <c r="C164" t="str">
        <v>أريج محمد حسن عبدالغني العوفي</v>
      </c>
      <c r="D164" t="str">
        <v>a.ufi@tu.edu.sa</v>
      </c>
      <c r="E164" t="str">
        <v>غير متوفر</v>
      </c>
      <c r="F164" t="str">
        <v>قسم نظم المعلومات الادارية</v>
      </c>
      <c r="G164" t="str">
        <v>طالبات</v>
      </c>
      <c r="H164" t="str">
        <v>معيد</v>
      </c>
      <c r="L164" t="str">
        <v>بدون تخفيض نصاب</v>
      </c>
      <c r="M164" t="str">
        <v>بدون تخفيض نصاب</v>
      </c>
      <c r="N164">
        <f>IF(OR(ISNUMBER(SEARCH("معار",I164&amp;" "&amp;K164&amp;" "&amp;M164)),ISNUMBER(SEARCH("مجاز",I164&amp;" "&amp;K164&amp;" "&amp;M164)),ISNUMBER(SEARCH("مبتعث",I164&amp;" "&amp;K164&amp;" "&amp;M164))),0,IF(M164="الحد الأدنى",3,IF(M164="50%",ROUND(IF(H164="استاذ",10,IF(H164="استاذ مشارك",12,IF(H164="استاذ مساعد",14,16)))/2,0),IF(H164="استاذ",10,IF(H164="استاذ مشارك",12,IF(H164="استاذ مساعد",14,16))))))</f>
        <v>16</v>
      </c>
      <c r="O164" t="str">
        <v>325</v>
      </c>
      <c r="P164" t="str">
        <v>على رأس عمله</v>
      </c>
      <c r="Q164" t="str">
        <v>٩-٠٢-١٤٣٤</v>
      </c>
    </row>
    <row r="165">
      <c r="A165">
        <v>164</v>
      </c>
      <c r="B165" t="str">
        <v>4340449</v>
      </c>
      <c r="C165" t="str">
        <v>نوره علي احمد السفياني</v>
      </c>
      <c r="D165" t="str">
        <v>norahh@tu.edu.sa</v>
      </c>
      <c r="E165" t="str">
        <v>غير متوفر</v>
      </c>
      <c r="F165" t="str">
        <v>قسم نظم المعلومات الادارية</v>
      </c>
      <c r="G165" t="str">
        <v>طالبات</v>
      </c>
      <c r="H165" t="str">
        <v>معيد</v>
      </c>
      <c r="L165" t="str">
        <v>بدون تخفيض نصاب</v>
      </c>
      <c r="M165" t="str">
        <v>بدون تخفيض نصاب</v>
      </c>
      <c r="N165">
        <f>IF(OR(ISNUMBER(SEARCH("معار",I165&amp;" "&amp;K165&amp;" "&amp;M165)),ISNUMBER(SEARCH("مجاز",I165&amp;" "&amp;K165&amp;" "&amp;M165)),ISNUMBER(SEARCH("مبتعث",I165&amp;" "&amp;K165&amp;" "&amp;M165))),0,IF(M165="الحد الأدنى",3,IF(M165="50%",ROUND(IF(H165="استاذ",10,IF(H165="استاذ مشارك",12,IF(H165="استاذ مساعد",14,16)))/2,0),IF(H165="استاذ",10,IF(H165="استاذ مشارك",12,IF(H165="استاذ مساعد",14,16))))))</f>
        <v>16</v>
      </c>
      <c r="O165" t="str">
        <v>323</v>
      </c>
      <c r="P165" t="str">
        <v>على رأس عمله</v>
      </c>
      <c r="Q165" t="str">
        <v>٣-٠٦-١٤٣٥</v>
      </c>
    </row>
  </sheetData>
  <hyperlinks>
    <hyperlink ref="D2" r:id="rId1"/>
  </hyperlinks>
  <pageMargins left="0.7" right="0.7" top="0.75" bottom="0.75" header="0.3" footer="0.3"/>
  <ignoredErrors>
    <ignoredError numberStoredAsText="1" sqref="A1:Q1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6"/>
  <sheetViews>
    <sheetView workbookViewId="0" rightToLeft="1"/>
  </sheetViews>
  <sheetData>
    <row r="1">
      <c r="A1" t="str">
        <v>م</v>
      </c>
      <c r="B1" t="str">
        <v>رقم المنسوب</v>
      </c>
      <c r="C1" t="str">
        <v>الاسم الكامل</v>
      </c>
      <c r="D1" t="str">
        <v>الشطر</v>
      </c>
      <c r="E1" t="str">
        <v>البريد الجامعي</v>
      </c>
      <c r="F1" t="str">
        <v>رقم الجوال</v>
      </c>
      <c r="G1" t="str">
        <v>الجهة / القسم التابع له</v>
      </c>
      <c r="H1" t="str">
        <v>المسمى الوظيفي</v>
      </c>
      <c r="I1" t="str">
        <v>مسمى آخر (إن وجد)</v>
      </c>
      <c r="J1" t="str">
        <v>مسمى ثالث (احتياطي - إن وجد)</v>
      </c>
      <c r="K1" t="str">
        <v>رقم المكتب</v>
      </c>
      <c r="L1" t="str">
        <v>ملاحظات</v>
      </c>
      <c r="M1" t="str">
        <v>حالة الموظف</v>
      </c>
    </row>
    <row r="2">
      <c r="A2">
        <v>1</v>
      </c>
      <c r="B2">
        <v>4280485</v>
      </c>
      <c r="C2" t="str">
        <v>يوسف علي عبدالله الشهراني</v>
      </c>
      <c r="D2" t="str">
        <v>طلاب</v>
      </c>
      <c r="E2" t="str">
        <v>y.shahrani@tu.edu.sa</v>
      </c>
      <c r="F2">
        <v>506036051</v>
      </c>
      <c r="G2" t="str">
        <v>مستشار عميد الكلية للشؤون الإدارية</v>
      </c>
      <c r="H2" t="str">
        <v>مستشار عميد الكلية للشؤون الإدارية</v>
      </c>
      <c r="K2">
        <v>38</v>
      </c>
      <c r="M2" t="str">
        <v>على رأس العمل</v>
      </c>
    </row>
    <row r="3">
      <c r="A3">
        <v>2</v>
      </c>
      <c r="B3">
        <v>4280166</v>
      </c>
      <c r="C3" t="str">
        <v>فهد عبد الله عامر باجبع</v>
      </c>
      <c r="D3" t="str">
        <v>طلاب</v>
      </c>
      <c r="E3" t="str">
        <v>f.bajaba@tu.edu.sa</v>
      </c>
      <c r="F3">
        <v>545549666</v>
      </c>
      <c r="G3" t="str">
        <v xml:space="preserve"> مكتب وكيل كلية إدارة الأعمال</v>
      </c>
      <c r="H3" t="str">
        <v>مدير مكتب وكيل كلية إدارة الأعمال</v>
      </c>
      <c r="K3">
        <v>23</v>
      </c>
      <c r="M3" t="str">
        <v>على رأس العمل</v>
      </c>
    </row>
    <row r="4">
      <c r="A4">
        <v>3</v>
      </c>
      <c r="B4">
        <v>4280507</v>
      </c>
      <c r="C4" t="str">
        <v>عبد العزيز عوض عبد العزيز أبو حربة</v>
      </c>
      <c r="D4" t="str">
        <v>طلاب</v>
      </c>
      <c r="E4" t="str">
        <v xml:space="preserve"> abohrbah@tu.edu.sa</v>
      </c>
      <c r="F4">
        <v>503049135</v>
      </c>
      <c r="G4" t="str">
        <v>وكيل كلية إدارة الأعمال للتدريب</v>
      </c>
      <c r="H4" t="str">
        <v>مدير مكتب وكيل كلية إدارة الأعمال للتدريب</v>
      </c>
      <c r="K4">
        <v>21</v>
      </c>
      <c r="M4" t="str">
        <v>على رأس العمل</v>
      </c>
    </row>
    <row r="5">
      <c r="A5">
        <v>4</v>
      </c>
      <c r="B5">
        <v>4280921</v>
      </c>
      <c r="C5" t="str">
        <v>محمد عبد ربه رده المالكي</v>
      </c>
      <c r="D5" t="str">
        <v>طلاب</v>
      </c>
      <c r="E5" t="str">
        <v>mahmad@tu.edu.sa</v>
      </c>
      <c r="F5">
        <v>555598847</v>
      </c>
      <c r="G5" t="str">
        <v xml:space="preserve"> مكتب عميد كلية إدارة الأعمال</v>
      </c>
      <c r="H5" t="str">
        <v>مدير مكتب عميد كلية إدارة الأعمال</v>
      </c>
      <c r="K5">
        <v>42</v>
      </c>
      <c r="M5" t="str">
        <v>على رأس العمل</v>
      </c>
    </row>
    <row r="6">
      <c r="A6">
        <v>5</v>
      </c>
      <c r="B6">
        <v>4300107</v>
      </c>
      <c r="C6" t="str">
        <v>سلطان غانم بداي العتيبي</v>
      </c>
      <c r="D6" t="str">
        <v>طلاب</v>
      </c>
      <c r="E6" t="str">
        <v>sggthami@tu.edu.sa</v>
      </c>
      <c r="F6" t="str">
        <v>لا يوجد</v>
      </c>
      <c r="G6" t="str">
        <v xml:space="preserve"> إدارة كلية إدارة الأعمال</v>
      </c>
      <c r="H6" t="str">
        <v>مراسل إدارة كلية إدارة الأعمال</v>
      </c>
      <c r="M6" t="str">
        <v>على رأس العمل</v>
      </c>
    </row>
    <row r="7">
      <c r="A7">
        <v>6</v>
      </c>
      <c r="B7">
        <v>4300355</v>
      </c>
      <c r="C7" t="str">
        <v>نايف حصيني هليل العجيفي السلمي</v>
      </c>
      <c r="D7" t="str">
        <v>طلاب</v>
      </c>
      <c r="E7" t="str">
        <v xml:space="preserve"> n.slme@tu.edu.ss</v>
      </c>
      <c r="F7">
        <v>545191566</v>
      </c>
      <c r="G7" t="str">
        <v>مركز الخدمات الأكاديمية والإدارية - شطر الطلاب</v>
      </c>
      <c r="H7" t="str">
        <v>مسؤول التصوير-شطر الطلاب</v>
      </c>
      <c r="K7">
        <v>19</v>
      </c>
      <c r="L7" t="str">
        <v>مكتب مشترك</v>
      </c>
      <c r="M7" t="str">
        <v>على رأس العمل</v>
      </c>
    </row>
    <row r="8">
      <c r="A8">
        <v>7</v>
      </c>
      <c r="B8">
        <v>4300414</v>
      </c>
      <c r="C8" t="str">
        <v>صالح احمد عبدالله الدهيسي المالكي</v>
      </c>
      <c r="D8" t="str">
        <v>طلاب</v>
      </c>
      <c r="E8" t="str">
        <v xml:space="preserve"> s.aldahesi@tu.edu.sa</v>
      </c>
      <c r="F8">
        <v>534873933</v>
      </c>
      <c r="G8" t="str">
        <v>مركز الخدمات الأكاديمية والإدارية - شطر الطلاب</v>
      </c>
      <c r="H8" t="str">
        <v>مسؤول التصوير-شطر الطلاب</v>
      </c>
      <c r="K8">
        <v>99</v>
      </c>
      <c r="M8" t="str">
        <v>على رأس العمل</v>
      </c>
    </row>
    <row r="9">
      <c r="A9">
        <v>8</v>
      </c>
      <c r="B9">
        <v>4330182</v>
      </c>
      <c r="C9" t="str">
        <v>ياسر مسفر مسعود المالكي</v>
      </c>
      <c r="D9" t="str">
        <v>طلاب</v>
      </c>
      <c r="E9" t="str">
        <v>y.masfar@tu.edu.sa</v>
      </c>
      <c r="F9">
        <v>566403430</v>
      </c>
      <c r="G9" t="str">
        <v xml:space="preserve"> إدارة كلية إدارة الأعمال</v>
      </c>
      <c r="H9" t="str">
        <v>مساعد مدير إدارة كلية إدارة الأعمال</v>
      </c>
      <c r="I9" t="str">
        <v>سكرتير أمين مجلس كلية إدارة الأعمال</v>
      </c>
      <c r="K9">
        <v>43</v>
      </c>
      <c r="M9" t="str">
        <v>على رأس العمل</v>
      </c>
    </row>
    <row r="10">
      <c r="A10">
        <v>9</v>
      </c>
      <c r="B10">
        <v>4330236</v>
      </c>
      <c r="C10" t="str">
        <v>رشيد سلطان دعيكان البقمي</v>
      </c>
      <c r="D10" t="str">
        <v>طلاب</v>
      </c>
      <c r="E10" t="str">
        <v>r.alboqmi@tu.edu.sa</v>
      </c>
      <c r="F10">
        <v>536141703</v>
      </c>
      <c r="G10" t="str">
        <v>مركز الخدمات الأكاديمية والإدارية - شطر الطلاب</v>
      </c>
      <c r="H10" t="str">
        <v>مركز الخدمات الأكاديمية والإدارية - شطر الطلاب</v>
      </c>
      <c r="K10">
        <v>19</v>
      </c>
      <c r="L10" t="str">
        <v>مكتب مشترك</v>
      </c>
      <c r="M10" t="str">
        <v>على رأس العمل</v>
      </c>
    </row>
    <row r="11">
      <c r="A11">
        <v>10</v>
      </c>
      <c r="B11">
        <v>4330420</v>
      </c>
      <c r="C11" t="str">
        <v>بدر فؤاد محمد الحربي</v>
      </c>
      <c r="D11" t="str">
        <v>طلاب</v>
      </c>
      <c r="E11" t="str">
        <v>b.alharbi@tu.edu.sa</v>
      </c>
      <c r="F11">
        <v>508137018</v>
      </c>
      <c r="G11" t="str">
        <v xml:space="preserve"> قسم التسويق - شطر الطلاب</v>
      </c>
      <c r="H11" t="str">
        <v>سكرتير قسم التسويق - شطر الطلاب</v>
      </c>
      <c r="K11">
        <v>124</v>
      </c>
      <c r="M11" t="str">
        <v>على رأس العمل</v>
      </c>
    </row>
    <row r="12">
      <c r="A12">
        <v>11</v>
      </c>
      <c r="B12">
        <v>4340507</v>
      </c>
      <c r="C12" t="str">
        <v>سلطان احمد حمدان الزهراني</v>
      </c>
      <c r="D12" t="str">
        <v>طلاب</v>
      </c>
      <c r="E12" t="str">
        <v>s.alamri@tu.edu.sa</v>
      </c>
      <c r="F12">
        <v>507077744</v>
      </c>
      <c r="G12" t="str">
        <v xml:space="preserve"> قسم الإدارة - شطر الطلاب</v>
      </c>
      <c r="H12" t="str">
        <v>سكرتير قسم الإدارة - شطر الطلاب</v>
      </c>
      <c r="K12">
        <v>12</v>
      </c>
      <c r="M12" t="str">
        <v>على رأس العمل</v>
      </c>
    </row>
    <row r="13">
      <c r="A13">
        <v>12</v>
      </c>
      <c r="B13">
        <v>4360229</v>
      </c>
      <c r="C13" t="str">
        <v>عبدالله سعيد عيضه المالكي</v>
      </c>
      <c r="D13" t="str">
        <v>طلاب</v>
      </c>
      <c r="E13" t="str">
        <v>a.almlki@tu.edu.sa</v>
      </c>
      <c r="F13">
        <v>551538551</v>
      </c>
      <c r="G13" t="str">
        <v xml:space="preserve"> قسم نظم المعلومات الإدارية - شطر الطلاب</v>
      </c>
      <c r="H13" t="str">
        <v>سكرتير قسم نظم المعلومات الإدارية - شطر الطلاب</v>
      </c>
      <c r="K13">
        <v>52</v>
      </c>
      <c r="M13" t="str">
        <v>على رأس العمل</v>
      </c>
    </row>
    <row r="14">
      <c r="A14">
        <v>13</v>
      </c>
      <c r="B14">
        <v>4390139</v>
      </c>
      <c r="C14" t="str">
        <v>مشاري محمد شباب آل حاسن العامري</v>
      </c>
      <c r="D14" t="str">
        <v>طلاب</v>
      </c>
      <c r="E14" t="str">
        <v xml:space="preserve"> mmamry@tu.edu.sa</v>
      </c>
      <c r="F14">
        <v>531369116</v>
      </c>
      <c r="G14" t="str">
        <v xml:space="preserve"> قسم الاقتصاد والتمويل - شطر الطلاب</v>
      </c>
      <c r="H14" t="str">
        <v>سكرتير قسم الاقتصاد والتمويل - شطر الطلاب</v>
      </c>
      <c r="K14">
        <v>66</v>
      </c>
      <c r="M14" t="str">
        <v>على رأس العمل</v>
      </c>
    </row>
    <row r="15">
      <c r="A15">
        <v>14</v>
      </c>
      <c r="B15">
        <v>4400179</v>
      </c>
      <c r="C15" t="str">
        <v>هاشم عبدالله حامد الشاهين الشريف</v>
      </c>
      <c r="D15" t="str">
        <v>طلاب</v>
      </c>
      <c r="E15" t="str">
        <v xml:space="preserve"> hasharif@tu.edu.sa</v>
      </c>
      <c r="F15">
        <v>530243052</v>
      </c>
      <c r="G15" t="str">
        <v xml:space="preserve"> قسم المحاسبة - شطر الطلاب</v>
      </c>
      <c r="H15" t="str">
        <v>سكرتير قسم المحاسبة - شطر الطلاب</v>
      </c>
      <c r="K15">
        <v>110</v>
      </c>
      <c r="M15" t="str">
        <v>على رأس العمل</v>
      </c>
    </row>
    <row r="16">
      <c r="A16">
        <v>15</v>
      </c>
      <c r="B16">
        <v>4440016</v>
      </c>
      <c r="C16" t="str">
        <v>سلطان عبدالله صقير الطلحي</v>
      </c>
      <c r="D16" t="str">
        <v>طلاب</v>
      </c>
      <c r="E16" t="str">
        <v>su.altalhy@tu.edu.sa</v>
      </c>
      <c r="F16">
        <v>508047371</v>
      </c>
      <c r="G16" t="str">
        <v xml:space="preserve"> إدارة كلية إدارة الأعمال</v>
      </c>
      <c r="H16" t="str">
        <v>مراسل إدارة كلية إدارة الأعمال</v>
      </c>
      <c r="M16" t="str">
        <v>على رأس العمل</v>
      </c>
    </row>
    <row r="17">
      <c r="A17">
        <v>16</v>
      </c>
      <c r="B17">
        <v>4330128</v>
      </c>
      <c r="C17" t="str">
        <v>ابرار عمر عايض الحارثي</v>
      </c>
      <c r="D17" t="str">
        <v>طالبات</v>
      </c>
      <c r="E17" t="str">
        <v>a.abrar@tu.edu.sa</v>
      </c>
      <c r="F17">
        <v>533551020</v>
      </c>
      <c r="G17" t="str">
        <v xml:space="preserve"> إدارة كلية إدارة الأعمال</v>
      </c>
      <c r="H17" t="str">
        <v>مدير إدارة كلية إدارة الأعمال</v>
      </c>
      <c r="M17" t="str">
        <v>على رأس العمل</v>
      </c>
    </row>
    <row r="18">
      <c r="A18">
        <v>17</v>
      </c>
      <c r="B18">
        <v>4330241</v>
      </c>
      <c r="C18" t="str">
        <v>مها عواض بنيه العتيبي</v>
      </c>
      <c r="D18" t="str">
        <v>طالبات</v>
      </c>
      <c r="E18" t="str">
        <v>maha.b@tu.edu.sa</v>
      </c>
      <c r="F18">
        <v>557163878</v>
      </c>
      <c r="G18" t="str">
        <v>إدارة كلية إدارة الأعمال بشطر الطالبات</v>
      </c>
      <c r="H18" t="str">
        <v>إدارة كلية إدارة الأعمال بشطر الطالبات</v>
      </c>
      <c r="M18" t="str">
        <v>على رأس العمل</v>
      </c>
    </row>
    <row r="19">
      <c r="A19">
        <v>18</v>
      </c>
      <c r="B19">
        <v>4330278</v>
      </c>
      <c r="C19" t="str">
        <v>حنان عبدالرشيد مخصوم بخاري</v>
      </c>
      <c r="D19" t="str">
        <v>طالبات</v>
      </c>
      <c r="E19" t="str">
        <v>hanan.b@tu.edu.sa</v>
      </c>
      <c r="F19">
        <v>505850176</v>
      </c>
      <c r="G19" t="str">
        <v>مركز الخدمات الأكاديمية والإدارية - شطر الطالبات</v>
      </c>
      <c r="H19" t="str">
        <v>مسؤولة التصوير-شطر الطالبات</v>
      </c>
      <c r="M19" t="str">
        <v>على رأس العمل</v>
      </c>
    </row>
    <row r="20">
      <c r="A20">
        <v>19</v>
      </c>
      <c r="B20">
        <v>4330414</v>
      </c>
      <c r="C20" t="str">
        <v>شذى عبدالله علي الأنسي</v>
      </c>
      <c r="D20" t="str">
        <v>طالبات</v>
      </c>
      <c r="E20" t="str">
        <v>shatha.a@tu.edu.sa</v>
      </c>
      <c r="F20">
        <v>541402401</v>
      </c>
      <c r="G20" t="str">
        <v xml:space="preserve"> قسم الاقتصاد والتمويل - شطر الطالبات</v>
      </c>
      <c r="H20" t="str">
        <v>سكرتير قسم الاقتصاد والتمويل - شطر الطالبات</v>
      </c>
      <c r="M20" t="str">
        <v>على رأس العمل</v>
      </c>
    </row>
    <row r="21">
      <c r="A21">
        <v>20</v>
      </c>
      <c r="B21">
        <v>4400159</v>
      </c>
      <c r="C21" t="str">
        <v>تركية تركي شرف الثقفي</v>
      </c>
      <c r="D21" t="str">
        <v>طالبات</v>
      </c>
      <c r="E21" t="str">
        <v>tshthaqafi@tu.edu.sa</v>
      </c>
      <c r="F21">
        <v>549049555</v>
      </c>
      <c r="G21" t="str">
        <v xml:space="preserve"> قسم التسويق - شطر الطالبات</v>
      </c>
      <c r="H21" t="str">
        <v>سكرتير قسم التسويق - شطر الطالبات</v>
      </c>
      <c r="M21" t="str">
        <v>على رأس العمل</v>
      </c>
    </row>
    <row r="22">
      <c r="A22">
        <v>21</v>
      </c>
      <c r="B22">
        <v>4420030</v>
      </c>
      <c r="C22" t="str">
        <v>صالحه عالي علي السفياني</v>
      </c>
      <c r="D22" t="str">
        <v>طالبات</v>
      </c>
      <c r="E22" t="str">
        <v xml:space="preserve"> sasofyani@tu.edu.sa</v>
      </c>
      <c r="F22">
        <v>501531344</v>
      </c>
      <c r="G22" t="str">
        <v xml:space="preserve"> قسم المحاسبة - شطر الطالبات</v>
      </c>
      <c r="H22" t="str">
        <v>سكرتير قسم المحاسبة - شطر الطالبات</v>
      </c>
      <c r="M22" t="str">
        <v>على رأس العمل</v>
      </c>
    </row>
    <row r="23">
      <c r="A23">
        <v>22</v>
      </c>
      <c r="B23">
        <v>4440023</v>
      </c>
      <c r="C23" t="str">
        <v>نوير خلف سعد البنيوسي الحارثي</v>
      </c>
      <c r="D23" t="str">
        <v>طالبات</v>
      </c>
      <c r="E23" t="str">
        <v>Nkharthy@tu.edu.sa</v>
      </c>
      <c r="F23">
        <v>506262761</v>
      </c>
      <c r="G23" t="str">
        <v>مكتب وكيلة كلية إدارة الأعمال</v>
      </c>
      <c r="H23" t="str">
        <v>مديرة مكتب وكيلة كلية إدارة الأعمال</v>
      </c>
      <c r="M23" t="str">
        <v>على رأس العمل</v>
      </c>
    </row>
    <row r="24">
      <c r="A24">
        <v>23</v>
      </c>
      <c r="B24">
        <v>4440024</v>
      </c>
      <c r="C24" t="str">
        <v>وضحى عويض عبيد الذيابي</v>
      </c>
      <c r="D24" t="str">
        <v>طالبات</v>
      </c>
      <c r="E24" t="str">
        <v>wothiyabi@tu.edu.sa</v>
      </c>
      <c r="F24">
        <v>536674996</v>
      </c>
      <c r="G24" t="str">
        <v xml:space="preserve"> قسم الإدارة - شطر الطالبات</v>
      </c>
      <c r="H24" t="str">
        <v>سكرتير قسم الإدارة - شطر الطالبات</v>
      </c>
      <c r="M24" t="str">
        <v>على رأس العمل</v>
      </c>
    </row>
    <row r="25">
      <c r="A25">
        <v>24</v>
      </c>
      <c r="B25">
        <v>4450041</v>
      </c>
      <c r="C25" t="str">
        <v>خلود صالح محمد العصيمي</v>
      </c>
      <c r="D25" t="str">
        <v>طالبات</v>
      </c>
      <c r="E25" t="str">
        <v xml:space="preserve"> kalosaimi@tu.edu.sa</v>
      </c>
      <c r="F25">
        <v>500955058</v>
      </c>
      <c r="G25" t="str">
        <v>وحدة الزيارات والمعادلات</v>
      </c>
      <c r="H25" t="str">
        <v>سكرتيرة وحدة الزيارات والمعادلات</v>
      </c>
      <c r="M25" t="str">
        <v>على رأس العمل</v>
      </c>
    </row>
    <row r="26">
      <c r="A26">
        <v>25</v>
      </c>
      <c r="B26">
        <v>4450044</v>
      </c>
      <c r="C26" t="str">
        <v>رهف صالح محمد العصيمي</v>
      </c>
      <c r="D26" t="str">
        <v>طالبات</v>
      </c>
      <c r="F26">
        <v>536887123</v>
      </c>
      <c r="G26" t="str">
        <v xml:space="preserve"> قسم نظم المعلومات الإدارية - شطر الطالبات</v>
      </c>
      <c r="H26" t="str">
        <v>سكرتير قسم نظم المعلومات الإدارية - شطر الطالبات</v>
      </c>
      <c r="M26" t="str">
        <v>على رأس العمل</v>
      </c>
    </row>
  </sheetData>
  <hyperlinks>
    <hyperlink ref="E2" r:id="rId1"/>
    <hyperlink ref="E3" r:id="rId2"/>
    <hyperlink ref="E5" r:id="rId3"/>
    <hyperlink ref="E6" r:id="rId4"/>
    <hyperlink ref="E9" r:id="rId5"/>
    <hyperlink ref="E10" r:id="rId6"/>
    <hyperlink ref="E11" r:id="rId7"/>
    <hyperlink ref="E12" r:id="rId8"/>
    <hyperlink ref="E13" r:id="rId9"/>
    <hyperlink ref="E16" r:id="rId10"/>
    <hyperlink ref="E17" r:id="rId11"/>
    <hyperlink ref="E18" r:id="rId12"/>
    <hyperlink ref="E19" r:id="rId13"/>
    <hyperlink ref="E20" r:id="rId14"/>
    <hyperlink ref="E21" r:id="rId15"/>
    <hyperlink ref="E23" r:id="rId16"/>
    <hyperlink ref="E24" r:id="rId17"/>
  </hyperlinks>
  <pageMargins left="0.7" right="0.7" top="0.75" bottom="0.75" header="0.3" footer="0.3"/>
  <ignoredErrors>
    <ignoredError numberStoredAsText="1" sqref="A1:M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 rightToLeft="1"/>
  </sheetViews>
  <sheetData>
    <row r="1">
      <c r="A1" t="str">
        <v>القسم</v>
      </c>
      <c r="B1" t="str">
        <v>رقم الموظف</v>
      </c>
      <c r="C1" t="str">
        <v>اسم الموظف</v>
      </c>
      <c r="D1" t="str">
        <v>الوظيفة</v>
      </c>
      <c r="E1" t="str">
        <v>التخصص العام</v>
      </c>
      <c r="F1" t="str">
        <v>حالة الموظف</v>
      </c>
    </row>
    <row r="2">
      <c r="A2" t="str">
        <v>الاقتصاد والتمويل</v>
      </c>
      <c r="B2" t="str">
        <v>4370089</v>
      </c>
      <c r="C2" t="str">
        <v>اروى عوض احمد الخوضاني الثقفي</v>
      </c>
      <c r="D2" t="str">
        <v>معيد</v>
      </c>
      <c r="E2" t="str">
        <v>علم نفس</v>
      </c>
      <c r="F2" t="str">
        <v>مبتعث خارجي</v>
      </c>
    </row>
    <row r="3">
      <c r="A3" t="str">
        <v>التسويق</v>
      </c>
      <c r="B3" t="str">
        <v>4400007</v>
      </c>
      <c r="C3" t="str">
        <v>اريج سعيد سعيد الغامدي</v>
      </c>
      <c r="D3" t="str">
        <v>محاضر</v>
      </c>
      <c r="E3" t="str">
        <v>التسويق</v>
      </c>
      <c r="F3" t="str">
        <v>مبتعث خارجي</v>
      </c>
    </row>
    <row r="4">
      <c r="A4" t="str">
        <v>الإدارة</v>
      </c>
      <c r="B4" t="str">
        <v>4340456</v>
      </c>
      <c r="C4" t="str">
        <v>الهام علي عوض الله الثبيتي</v>
      </c>
      <c r="D4" t="str">
        <v>محاضر</v>
      </c>
      <c r="E4" t="str">
        <v>ادارة اعمال</v>
      </c>
      <c r="F4" t="str">
        <v>مبتعث خارجي</v>
      </c>
    </row>
    <row r="5">
      <c r="A5" t="str">
        <v>التسويق</v>
      </c>
      <c r="B5" t="str">
        <v>4340455</v>
      </c>
      <c r="C5" t="str">
        <v>حنان محمد صالح عابد الدماس</v>
      </c>
      <c r="D5" t="str">
        <v>محاضر</v>
      </c>
      <c r="E5" t="str">
        <v>اختبارات ومقاييس</v>
      </c>
      <c r="F5" t="str">
        <v>مبتعث خارجي</v>
      </c>
    </row>
    <row r="6">
      <c r="A6" t="str">
        <v>نظم المعلومات الادارية</v>
      </c>
      <c r="B6" t="str">
        <v>4330027</v>
      </c>
      <c r="C6" t="str">
        <v>رعد عبدالله محمد ال جعفر الغامدي</v>
      </c>
      <c r="D6" t="str">
        <v>محاضر</v>
      </c>
      <c r="E6" t="str">
        <v>نظم معلومات ادارية</v>
      </c>
      <c r="F6" t="str">
        <v>مبتعث خارجي</v>
      </c>
    </row>
    <row r="7">
      <c r="A7" t="str">
        <v>التسويق</v>
      </c>
      <c r="B7" t="str">
        <v>4390238</v>
      </c>
      <c r="C7" t="str">
        <v>رغدة عبدالله عبدالرحمن الجويسر</v>
      </c>
      <c r="D7" t="str">
        <v>محاضر</v>
      </c>
      <c r="E7" t="str">
        <v>التسويق</v>
      </c>
      <c r="F7" t="str">
        <v>مبتعث خارجي</v>
      </c>
    </row>
    <row r="8">
      <c r="A8" t="str">
        <v>المحاسبة</v>
      </c>
      <c r="B8" t="str">
        <v>4340133</v>
      </c>
      <c r="C8" t="str">
        <v>رهام عوض حمد القثامي</v>
      </c>
      <c r="D8" t="str">
        <v>محاضر</v>
      </c>
      <c r="E8" t="str">
        <v>المحاسبة</v>
      </c>
      <c r="F8" t="str">
        <v>مبتعث خارجي</v>
      </c>
    </row>
    <row r="9">
      <c r="A9" t="str">
        <v>نظم المعلومات الادارية</v>
      </c>
      <c r="B9" t="str">
        <v>4400027</v>
      </c>
      <c r="C9" t="str">
        <v>روان عيضة سعيد الحنيشي الحارثي</v>
      </c>
      <c r="D9" t="str">
        <v>معيد</v>
      </c>
      <c r="E9" t="str">
        <v>معلومات</v>
      </c>
      <c r="F9" t="str">
        <v>مبتعث خارجي</v>
      </c>
    </row>
    <row r="10">
      <c r="A10" t="str">
        <v>المحاسبة</v>
      </c>
      <c r="B10" t="str">
        <v>4280530</v>
      </c>
      <c r="C10" t="str">
        <v>ساره عبده حزام الحميري</v>
      </c>
      <c r="D10" t="str">
        <v>محاضر</v>
      </c>
      <c r="E10" t="str">
        <v>محاسبة</v>
      </c>
      <c r="F10" t="str">
        <v>مبتعث خارجي</v>
      </c>
    </row>
    <row r="11">
      <c r="A11" t="str">
        <v>الاقتصاد والتمويل</v>
      </c>
      <c r="B11" t="str">
        <v>4350149</v>
      </c>
      <c r="C11" t="str">
        <v>شيماء حاسن حامد القرشي</v>
      </c>
      <c r="D11" t="str">
        <v>محاضر</v>
      </c>
      <c r="E11" t="str">
        <v>تربية</v>
      </c>
      <c r="F11" t="str">
        <v>مبتعث خارجي</v>
      </c>
    </row>
    <row r="12">
      <c r="A12" t="str">
        <v>المحاسبة</v>
      </c>
      <c r="B12" t="str">
        <v>4310125</v>
      </c>
      <c r="C12" t="str">
        <v>عائشة عيضة معيوض العضياني الحارثي</v>
      </c>
      <c r="D12" t="str">
        <v>محاضر</v>
      </c>
      <c r="E12" t="str">
        <v>محاسبة</v>
      </c>
      <c r="F12" t="str">
        <v>مبتعث خارجي</v>
      </c>
    </row>
    <row r="13">
      <c r="A13" t="str">
        <v>الإدارة</v>
      </c>
      <c r="B13" t="str">
        <v>4390113</v>
      </c>
      <c r="C13" t="str">
        <v>فهد علي حمود الجعيد</v>
      </c>
      <c r="D13" t="str">
        <v>محاضر</v>
      </c>
      <c r="E13" t="str">
        <v>ادارة صحية</v>
      </c>
      <c r="F13" t="str">
        <v>مبتعث خارجي</v>
      </c>
    </row>
    <row r="14">
      <c r="A14" t="str">
        <v>الإدارة</v>
      </c>
      <c r="B14" t="str">
        <v>4400010</v>
      </c>
      <c r="C14" t="str">
        <v>لانا عويض راجح العبدلي الشريف</v>
      </c>
      <c r="D14" t="str">
        <v>معيد</v>
      </c>
      <c r="E14" t="str">
        <v>ادارة اعمال</v>
      </c>
      <c r="F14" t="str">
        <v>مبتعث خارجي</v>
      </c>
    </row>
    <row r="15">
      <c r="A15" t="str">
        <v>نظم المعلومات الادارية</v>
      </c>
      <c r="B15" t="str">
        <v>4350150</v>
      </c>
      <c r="C15" t="str">
        <v>لينا ردود عبدالله الجمالين الربيعي</v>
      </c>
      <c r="D15" t="str">
        <v>محاضر</v>
      </c>
      <c r="E15" t="str">
        <v>معلومات</v>
      </c>
      <c r="F15" t="str">
        <v>مبتعث خارجي</v>
      </c>
    </row>
    <row r="16">
      <c r="A16" t="str">
        <v>نظم المعلومات الادارية</v>
      </c>
      <c r="B16" t="str">
        <v>4320199</v>
      </c>
      <c r="C16" t="str">
        <v>نادر عبدالرحمن عبدالوهاب معلم</v>
      </c>
      <c r="D16" t="str">
        <v>محاضر</v>
      </c>
      <c r="E16" t="str">
        <v>نظم معلومات ادارية</v>
      </c>
      <c r="F16" t="str">
        <v>مبتعث خارجي</v>
      </c>
    </row>
    <row r="17">
      <c r="A17" t="str">
        <v>المحاسبة</v>
      </c>
      <c r="B17" t="str">
        <v>4330441</v>
      </c>
      <c r="C17" t="str">
        <v>ندى احمد محمد الزهراني</v>
      </c>
      <c r="D17" t="str">
        <v>محاضر</v>
      </c>
      <c r="E17" t="str">
        <v>العلوم</v>
      </c>
      <c r="F17" t="str">
        <v>مبتعث خارجي</v>
      </c>
    </row>
    <row r="18">
      <c r="A18" t="str">
        <v>الاقتصاد والتمويل</v>
      </c>
      <c r="B18" t="str">
        <v>4310534</v>
      </c>
      <c r="C18" t="str">
        <v>هند عبدالله هلال الثبيتي</v>
      </c>
      <c r="D18" t="str">
        <v>محاضر</v>
      </c>
      <c r="E18" t="str">
        <v>الاستثمار والتمويل</v>
      </c>
      <c r="F18" t="str">
        <v>مبتعث خارجي</v>
      </c>
    </row>
  </sheetData>
  <autoFilter ref="A1:F18"/>
  <pageMargins left="0.75" right="0.75" top="1" bottom="1" header="0.5" footer="0.5"/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منسوبو الكلية</vt:lpstr>
      <vt:lpstr>الإداريين</vt:lpstr>
      <vt:lpstr>المبتعثون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2026-08-03T10:45:01Z</dcterms:created>
  <dcterms:modified xsi:type="dcterms:W3CDTF">2026-08-10T22:18:47Z</dcterms:modified>
</cp:coreProperties>
</file>