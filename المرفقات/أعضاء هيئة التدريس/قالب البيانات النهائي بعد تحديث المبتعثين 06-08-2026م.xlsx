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lfa\Sulaiman Prj\sulaiman\المرفقات\أعضاء هيئة التدريس\"/>
    </mc:Choice>
  </mc:AlternateContent>
  <xr:revisionPtr revIDLastSave="0" documentId="13_ncr:1_{20CFABA4-3140-4D4F-BC68-8DF01FAC86DF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منسوبو الكلية" sheetId="1" r:id="rId1"/>
    <sheet name="الإداريين" sheetId="2" r:id="rId2"/>
    <sheet name="المبتعثون" sheetId="3" r:id="rId3"/>
  </sheets>
  <definedNames>
    <definedName name="_xlnm._FilterDatabase" localSheetId="2" hidden="1">المبتعثون!$A$1:$F$18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99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66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34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2" i="1"/>
</calcChain>
</file>

<file path=xl/sharedStrings.xml><?xml version="1.0" encoding="utf-8"?>
<sst xmlns="http://schemas.openxmlformats.org/spreadsheetml/2006/main" count="1793" uniqueCount="741">
  <si>
    <t>م</t>
  </si>
  <si>
    <t>رقم المنسوب</t>
  </si>
  <si>
    <t>الاسم الكامل</t>
  </si>
  <si>
    <t>البريد الجامعي</t>
  </si>
  <si>
    <t>رقم الجوال</t>
  </si>
  <si>
    <t>القسم / الجهة</t>
  </si>
  <si>
    <t>الشطر</t>
  </si>
  <si>
    <t>الدرجة العلمية</t>
  </si>
  <si>
    <t>نوع التكليف</t>
  </si>
  <si>
    <t>مسمى المنصب</t>
  </si>
  <si>
    <t>منصب آخر (احتياطي - إن وجد)</t>
  </si>
  <si>
    <t>نصاب الإرشاد</t>
  </si>
  <si>
    <t>قرار تخفيض النصاب</t>
  </si>
  <si>
    <t>نصاب عضو هيئة التدريس</t>
  </si>
  <si>
    <t>رقم المكتب</t>
  </si>
  <si>
    <t>ملاحظات المكاتب</t>
  </si>
  <si>
    <t>حالة الموظف</t>
  </si>
  <si>
    <t>ملاحظة</t>
  </si>
  <si>
    <t>4310500</t>
  </si>
  <si>
    <t>خالد كمال محمد الحربي</t>
  </si>
  <si>
    <t>k.alharbi@tu.edu.sa</t>
  </si>
  <si>
    <t>قسم الادارة</t>
  </si>
  <si>
    <t>طلاب</t>
  </si>
  <si>
    <t>استاذ مشارك</t>
  </si>
  <si>
    <t>وكيل جامعة</t>
  </si>
  <si>
    <t>وكيل الجامعة للشؤون الأكاديمية والتطوير</t>
  </si>
  <si>
    <t>معفي من الارشاد</t>
  </si>
  <si>
    <t>الحد الأدنى</t>
  </si>
  <si>
    <t>على رأس عمله</t>
  </si>
  <si>
    <t>4270224</t>
  </si>
  <si>
    <t>هند عبدالله عبدالمحسن الرقيب</t>
  </si>
  <si>
    <t>h.alreqib@tu.edu.sa</t>
  </si>
  <si>
    <t>قسم المحاسبة</t>
  </si>
  <si>
    <t>طالبات</t>
  </si>
  <si>
    <t>عميد كلية</t>
  </si>
  <si>
    <t>عميد كلية إدارة الأعمال</t>
  </si>
  <si>
    <t>4280541</t>
  </si>
  <si>
    <t>وائل احمد رضوان عبدالجليل تمبوسي</t>
  </si>
  <si>
    <t>w.redwan@tu.edu.sa</t>
  </si>
  <si>
    <t>قسم التسويق</t>
  </si>
  <si>
    <t>استاذ مساعد</t>
  </si>
  <si>
    <t>وكيل كلية</t>
  </si>
  <si>
    <t>وكيل كلية إدارة الأعمال للتدريب</t>
  </si>
  <si>
    <t>المشرف على إدارة ريادة الأعمال</t>
  </si>
  <si>
    <t>رقم المكتب في القسم العلمي 116</t>
  </si>
  <si>
    <t>4360220</t>
  </si>
  <si>
    <t>صالح محمد إبراهيم قاضي</t>
  </si>
  <si>
    <t>K.saleh@tu.edu.sa</t>
  </si>
  <si>
    <t>قسم نظم المعلومات الادارية</t>
  </si>
  <si>
    <t xml:space="preserve">وكيل كلية إدارة الأعمال </t>
  </si>
  <si>
    <t>أمين مجلس كلية إدارة الأعمال</t>
  </si>
  <si>
    <t>رقم المكتب في القسم العلمي 49</t>
  </si>
  <si>
    <t>4310076</t>
  </si>
  <si>
    <t>ولاء عمر معتوق بارفعه</t>
  </si>
  <si>
    <t>Wala.o@tu.edu.sa</t>
  </si>
  <si>
    <t>وكيلة كلية</t>
  </si>
  <si>
    <t xml:space="preserve">وكيلة كلية إدارة الأعمال </t>
  </si>
  <si>
    <t>4310067</t>
  </si>
  <si>
    <t>عبد الله صالح رجاء العوفي</t>
  </si>
  <si>
    <t>draaloufi@tu.edu.sa</t>
  </si>
  <si>
    <t>رئيس قسم</t>
  </si>
  <si>
    <t>رئيس قسم الادارة</t>
  </si>
  <si>
    <t>مشرف إدارة الأصول والاستثمار</t>
  </si>
  <si>
    <t>رقم المكتب في القسم العلمي 126</t>
  </si>
  <si>
    <t>4340145</t>
  </si>
  <si>
    <t>رذاذ حسين أنور فلمبان</t>
  </si>
  <si>
    <t>Razaz.h@tu.edu.sa</t>
  </si>
  <si>
    <t>قسم الاقتصاد و التمويل</t>
  </si>
  <si>
    <t>رئيس قسم الاقتصاد والتمويل</t>
  </si>
  <si>
    <t>4270151</t>
  </si>
  <si>
    <t>عبدالرحمن عطا الله خبيتان الحربي</t>
  </si>
  <si>
    <t>a.ataa@tu.edu.sa</t>
  </si>
  <si>
    <t>رئيس قسم المحاسبة</t>
  </si>
  <si>
    <t>4310506</t>
  </si>
  <si>
    <t>نايف عوض الله عبد الله الزرقي</t>
  </si>
  <si>
    <t>Na.Zurqi@tu.edu.sa</t>
  </si>
  <si>
    <t>رئيس قسم التسويق</t>
  </si>
  <si>
    <t>4360029</t>
  </si>
  <si>
    <t>الجوهرة عبدالعزيز داود المطرف</t>
  </si>
  <si>
    <t>jamtrf@tu.edu.sa</t>
  </si>
  <si>
    <t>رئيس قسم نظم المعلومات الإدارية</t>
  </si>
  <si>
    <t>4340032</t>
  </si>
  <si>
    <t>آلاء عمر معتوق أحمد بارفعه</t>
  </si>
  <si>
    <t>aobarefah@tu.edu.sa</t>
  </si>
  <si>
    <t>رئيس وحدة</t>
  </si>
  <si>
    <t>رئيس وحدة الارشاد الاكاديمي والخريجين</t>
  </si>
  <si>
    <t>بدون تخفيض نصاب</t>
  </si>
  <si>
    <t>4280579</t>
  </si>
  <si>
    <t>سليمان مفوز سليم الفواز</t>
  </si>
  <si>
    <t>salfawaz@tu.edu.sa</t>
  </si>
  <si>
    <t>محاضر</t>
  </si>
  <si>
    <t>نائب رئيس وحدة</t>
  </si>
  <si>
    <t>نائب رئيس وحدة الارشاد الاكاديمي والخريجين</t>
  </si>
  <si>
    <t>مستشار عميد شؤون الطلاب</t>
  </si>
  <si>
    <t>4330577</t>
  </si>
  <si>
    <t>عادل علي محمد حسن</t>
  </si>
  <si>
    <t>ad.hassan@tu.edu.sa</t>
  </si>
  <si>
    <t>منسق كلية</t>
  </si>
  <si>
    <t>منسق كلية إدارة الأعمال للشؤون الأكاديمية-شطر الطلاب</t>
  </si>
  <si>
    <t>رقم المكتب في القسم العلمي 65</t>
  </si>
  <si>
    <t>موقوف الراتب</t>
  </si>
  <si>
    <t>خلال فترة الإجارة</t>
  </si>
  <si>
    <t>4340422</t>
  </si>
  <si>
    <t>هبه الله عبدالصبور أمين حسن</t>
  </si>
  <si>
    <t>Heba79@tu.edu.sa</t>
  </si>
  <si>
    <t>منسقة كلية إدارة الأعمال للشؤون الأكاديمية-شطر الطالبات</t>
  </si>
  <si>
    <t>4310384</t>
  </si>
  <si>
    <t>محمد عباس الحاج عبد الله محمد</t>
  </si>
  <si>
    <t>a.alhaj@tu.edu.sa</t>
  </si>
  <si>
    <t>امين قسم</t>
  </si>
  <si>
    <t>أمين قسم الإدارة</t>
  </si>
  <si>
    <t>حالات خاصة</t>
  </si>
  <si>
    <t>4390156</t>
  </si>
  <si>
    <t>وائل محمود علي محمد</t>
  </si>
  <si>
    <t>wmohamed@tu.edu.sa</t>
  </si>
  <si>
    <t>أمين قسم الاقتصاد والتمويل</t>
  </si>
  <si>
    <t>4390050</t>
  </si>
  <si>
    <t>الفاتح بشير ادريس البشير</t>
  </si>
  <si>
    <t>fbbashir@tu.edu.sa</t>
  </si>
  <si>
    <t>أمين قسم المحاسبة</t>
  </si>
  <si>
    <t>4410027</t>
  </si>
  <si>
    <t>حسن عبد الرحيم حسن الزبير</t>
  </si>
  <si>
    <t>azubeir@tu.edu.sa</t>
  </si>
  <si>
    <t>أمين قسم التسويق</t>
  </si>
  <si>
    <t>4300324</t>
  </si>
  <si>
    <t>معاذ يوسف ابراهيم الذنيبات</t>
  </si>
  <si>
    <t>Muath@tu.edu.sa</t>
  </si>
  <si>
    <t>أمين قسم نظم المعلومات الإدارية</t>
  </si>
  <si>
    <t>4340394</t>
  </si>
  <si>
    <t>غراس غازي عبدالرحمن ابو الشامات</t>
  </si>
  <si>
    <t>g.abualshamat@tu.edu.sa</t>
  </si>
  <si>
    <t>أمينة قسم الإدارة</t>
  </si>
  <si>
    <t>4320006</t>
  </si>
  <si>
    <t>أشواق عيظه عوض السفياني</t>
  </si>
  <si>
    <t>ashwaq@tu.edu.sa</t>
  </si>
  <si>
    <t>أمينة قسم الاقتصاد والتمويل</t>
  </si>
  <si>
    <t>4400233</t>
  </si>
  <si>
    <t>حفصة محمد ابراهيم محمد</t>
  </si>
  <si>
    <t>hmohammed@tu.edu.sa</t>
  </si>
  <si>
    <t>أمينة قسم المحاسبة</t>
  </si>
  <si>
    <t>4330069</t>
  </si>
  <si>
    <t>إيمان سفر عباد المطيري</t>
  </si>
  <si>
    <t>eiman.s@tu.edu.sa</t>
  </si>
  <si>
    <t xml:space="preserve">أمينة قسم نظم المعلومات الإدارية </t>
  </si>
  <si>
    <t>4310170</t>
  </si>
  <si>
    <t>خليل عواد غميض الرويتعي</t>
  </si>
  <si>
    <t>k.gamith@tu.edu.sa</t>
  </si>
  <si>
    <t>تكليف خارجي</t>
  </si>
  <si>
    <t>مساعد للرئيس التنفيذي للخدمات لمساندة بالكلية التطبيقية</t>
  </si>
  <si>
    <t>50%</t>
  </si>
  <si>
    <t>4320186</t>
  </si>
  <si>
    <t>فؤاد عمر يحيى جعماني</t>
  </si>
  <si>
    <t>fjamaani@tu.edu.sa</t>
  </si>
  <si>
    <t>رئيس مركز البحوث والإستشارات</t>
  </si>
  <si>
    <t>مستشار وكيل الجامعة للشؤون المالية والاستثمار</t>
  </si>
  <si>
    <t>4340339</t>
  </si>
  <si>
    <t>عبدالله ضاوي شعاف الذيابي العتيبي</t>
  </si>
  <si>
    <t>a.dhawi@tu.edu.sa</t>
  </si>
  <si>
    <t>معار</t>
  </si>
  <si>
    <t>معار / الكلية الجامعية بالخرمة</t>
  </si>
  <si>
    <t>4310503</t>
  </si>
  <si>
    <t>فهد مصلح منيف السعدي</t>
  </si>
  <si>
    <t>fmsaadi@tu.edu.sa</t>
  </si>
  <si>
    <t>4300262</t>
  </si>
  <si>
    <t>حامد عبدالقوي محمد الخواجه</t>
  </si>
  <si>
    <t>h.khawaga@tu.edu.sa</t>
  </si>
  <si>
    <t>4310354</t>
  </si>
  <si>
    <t>محمود عبد العال محمد مشعال</t>
  </si>
  <si>
    <t>m.meshal@tu.edu.sa</t>
  </si>
  <si>
    <t>4380087</t>
  </si>
  <si>
    <t>ساير ساعد ساير الجعيد</t>
  </si>
  <si>
    <t>saljaed@tu.edu.sa</t>
  </si>
  <si>
    <t>الباب لا يحتوي على رقم رسمي (رقم صغير اعلى الباب 79)</t>
  </si>
  <si>
    <t>4380095</t>
  </si>
  <si>
    <t>ايمن حسن سعيد بازهير</t>
  </si>
  <si>
    <t>abazhair@tu.edu.sa</t>
  </si>
  <si>
    <t>4400208</t>
  </si>
  <si>
    <t>الصادق محمد سالم الطيب</t>
  </si>
  <si>
    <t>tayeb@tu.edu.sa</t>
  </si>
  <si>
    <t>منسق وحدة</t>
  </si>
  <si>
    <t>منسق قسم الاقتصاد والتمويل لوحدة الإرشاد الأكاديمي والخريجين</t>
  </si>
  <si>
    <t>إرشاد جزئي</t>
  </si>
  <si>
    <t>4400211</t>
  </si>
  <si>
    <t>مهند جعفر حسن حبيب</t>
  </si>
  <si>
    <t>mghabib@tu.edu.sa</t>
  </si>
  <si>
    <t>4260555</t>
  </si>
  <si>
    <t>محمد تركي حامد المطرفي</t>
  </si>
  <si>
    <t>m.turki@tu.edu.sa</t>
  </si>
  <si>
    <t>4350006</t>
  </si>
  <si>
    <t>خالد محمد قرني البدوي</t>
  </si>
  <si>
    <t>k.elbadawey@tu.edu.sa</t>
  </si>
  <si>
    <t>4390049</t>
  </si>
  <si>
    <t>اشرف كمال عثمان ابراهيم</t>
  </si>
  <si>
    <t>akibrahim@tu.edu.sa</t>
  </si>
  <si>
    <t>مكتب مشترك</t>
  </si>
  <si>
    <t>4390218</t>
  </si>
  <si>
    <t>يزيد عبدالعزيز حسين آل ناجي</t>
  </si>
  <si>
    <t>yazeedn@tu.edu.sa</t>
  </si>
  <si>
    <t>لا يوجد لوحة بالاسم في القسم العلمي</t>
  </si>
  <si>
    <t>4400032</t>
  </si>
  <si>
    <t>حاتم حسن ضيف الله سعيد</t>
  </si>
  <si>
    <t>hhsaeed@tu.edu.sa</t>
  </si>
  <si>
    <t>4400069</t>
  </si>
  <si>
    <t>محمد سعد محمود عبد الرحيم</t>
  </si>
  <si>
    <t>msmahmoud@tu.edu.sa</t>
  </si>
  <si>
    <t>4400198</t>
  </si>
  <si>
    <t>اشرف حسن احمد الحاج</t>
  </si>
  <si>
    <t>hag@tu.edu.sa</t>
  </si>
  <si>
    <t>4400216</t>
  </si>
  <si>
    <t>بشير بكرى عجيب بابكر</t>
  </si>
  <si>
    <t>babiker@tu.edu.sa</t>
  </si>
  <si>
    <t>4300122</t>
  </si>
  <si>
    <t>عماد علي ابراهيم باشهاب</t>
  </si>
  <si>
    <t>emadab@tu.edu.sa</t>
  </si>
  <si>
    <t>4310061</t>
  </si>
  <si>
    <t>احمد حسين احمد سبحي</t>
  </si>
  <si>
    <t>Ahmad_Subahe@tu.edu.sa</t>
  </si>
  <si>
    <t>4340418</t>
  </si>
  <si>
    <t>خالد احمد مسفر القشيري الغامدي</t>
  </si>
  <si>
    <t>k.algushiri@tu.edu.sa</t>
  </si>
  <si>
    <t>4310176</t>
  </si>
  <si>
    <t>فائز عباد عريج الشاطري المطيري</t>
  </si>
  <si>
    <t>f.abbad@tu.edu.sa</t>
  </si>
  <si>
    <t>معيد</t>
  </si>
  <si>
    <t>4260557</t>
  </si>
  <si>
    <t>محمد فراج علي العقلا</t>
  </si>
  <si>
    <t>m.alagla@tu.edu.sa</t>
  </si>
  <si>
    <t>استاذ</t>
  </si>
  <si>
    <t>4260567</t>
  </si>
  <si>
    <t>عوض عمر علي ابومالح</t>
  </si>
  <si>
    <t>abomalah@tu.edu.sa</t>
  </si>
  <si>
    <t>4280240</t>
  </si>
  <si>
    <t>عبد الله مداري عبدالله الحربي</t>
  </si>
  <si>
    <t>medari@tu.edu.sa</t>
  </si>
  <si>
    <t>4280508</t>
  </si>
  <si>
    <t>حامد عاتق مرزوق السميري</t>
  </si>
  <si>
    <t>h.marzook@tu.edu.sa</t>
  </si>
  <si>
    <t>خارج القسم</t>
  </si>
  <si>
    <t>4300120</t>
  </si>
  <si>
    <t>جمعان سعيد سرور الزهراني</t>
  </si>
  <si>
    <t>j.alzahrani@tu.edu.sa</t>
  </si>
  <si>
    <t>4310235</t>
  </si>
  <si>
    <t>عبدالرحمن غسان محمد الصديقي</t>
  </si>
  <si>
    <t>a.alseddiqi@tu.edu.sa</t>
  </si>
  <si>
    <t>4310592</t>
  </si>
  <si>
    <t>السيد الحضري أحمد محمود</t>
  </si>
  <si>
    <t>a.Elhadery@tu.edu.sa</t>
  </si>
  <si>
    <t>4390140</t>
  </si>
  <si>
    <t>كريم سعيد ذيب عكور</t>
  </si>
  <si>
    <t>ksokour@tu.edu.sa</t>
  </si>
  <si>
    <t>4410053</t>
  </si>
  <si>
    <t>اكرم محمد بلحاج محمد</t>
  </si>
  <si>
    <t>belhaajmohamed@tu.edu.sa</t>
  </si>
  <si>
    <t>منسق قسم الإدارة لوحدة الإرشاد الأكاديمي والخريجين</t>
  </si>
  <si>
    <t>4310496</t>
  </si>
  <si>
    <t>سالم علي محمد ال قظيع</t>
  </si>
  <si>
    <t>s.alim@tu.edu.sa</t>
  </si>
  <si>
    <t>مستشار بوكالة الجامعة للإشراف على الشراكات الاستراتيجية والتطوير وحلول الأعمال بمركز البحوث والاستشارات</t>
  </si>
  <si>
    <t>4400257</t>
  </si>
  <si>
    <t>كباشي محمد حامد نور الدين</t>
  </si>
  <si>
    <t>k.noureldin@tu.edu.sa</t>
  </si>
  <si>
    <t>4410060</t>
  </si>
  <si>
    <t>عبد الجليل محمد حسن ادريس</t>
  </si>
  <si>
    <t>am.idris@tu.edu.sa</t>
  </si>
  <si>
    <t>4390118</t>
  </si>
  <si>
    <t>مازن عبدالرحمن محمد المنجومي</t>
  </si>
  <si>
    <t>mamanjumi@tu.edu.sa</t>
  </si>
  <si>
    <t>4400175</t>
  </si>
  <si>
    <t>بندر خلف قليل المسيلي الحارثي</t>
  </si>
  <si>
    <t>bkharthey@tu.edu.sa</t>
  </si>
  <si>
    <t>4280648</t>
  </si>
  <si>
    <t>ماجد سعد رتيمان المرواني</t>
  </si>
  <si>
    <t>m.marwani@tu.edu.sa</t>
  </si>
  <si>
    <t>4310184</t>
  </si>
  <si>
    <t>عبدالرحمن صالح محمد العلياني</t>
  </si>
  <si>
    <t>a.alfaisaly@tu.edu.sa</t>
  </si>
  <si>
    <t>4390030</t>
  </si>
  <si>
    <t>خالد الطيب علي احمد</t>
  </si>
  <si>
    <t>Keahmed@tu.edu.sa</t>
  </si>
  <si>
    <t>4280556</t>
  </si>
  <si>
    <t>براء حسن احمد الحازمي</t>
  </si>
  <si>
    <t>b.hassan@tu.edu.sa</t>
  </si>
  <si>
    <t>4390197</t>
  </si>
  <si>
    <t>خالد عبدالله محمد العتيبي</t>
  </si>
  <si>
    <t>Kaotaibi@tu.edu.sa</t>
  </si>
  <si>
    <t>4300402</t>
  </si>
  <si>
    <t>عبد الرحمن احمد حميد الكشي الجهني</t>
  </si>
  <si>
    <t>Ab.aljohani@tu.edu.sa</t>
  </si>
  <si>
    <t>4400016</t>
  </si>
  <si>
    <t>صالح حامد محمد علي ادم</t>
  </si>
  <si>
    <t>shadam@tu.edu.sa</t>
  </si>
  <si>
    <t>4400212</t>
  </si>
  <si>
    <t>محمد ابكر احمد محمد</t>
  </si>
  <si>
    <t>Abaker@tu.edu.sa</t>
  </si>
  <si>
    <t>منسق قسم المحاسبة لوحدة الإرشاد الأكاديمي والخريجين</t>
  </si>
  <si>
    <t>4400239</t>
  </si>
  <si>
    <t>عبد الرحمن عبد الله عبد الرحمن عبد الله</t>
  </si>
  <si>
    <t>Abdulrhman@tu.edu.sa</t>
  </si>
  <si>
    <t>4310497</t>
  </si>
  <si>
    <t>محمد عادل محمد رزيق</t>
  </si>
  <si>
    <t>m.rozyq@tu.edu.sa</t>
  </si>
  <si>
    <t>4350087</t>
  </si>
  <si>
    <t>محمود ابراهيم محمد عبدالموجود</t>
  </si>
  <si>
    <t>M.ibrahem@tu.edu.sa</t>
  </si>
  <si>
    <t>4390195</t>
  </si>
  <si>
    <t>فهد محمد عبدالله الشربي العتيبي</t>
  </si>
  <si>
    <t>Fmotaibi@tu.edu.sa</t>
  </si>
  <si>
    <t>4390226</t>
  </si>
  <si>
    <t>حامد غازي حامد سليماني</t>
  </si>
  <si>
    <t>hgsulimany@tu.edu.sa</t>
  </si>
  <si>
    <t>4400155</t>
  </si>
  <si>
    <t>اسامة احمد جمال هلالي</t>
  </si>
  <si>
    <t>Oahelaly@tu.edu.sa</t>
  </si>
  <si>
    <t>4400228</t>
  </si>
  <si>
    <t>مزمل عوض طه احمد</t>
  </si>
  <si>
    <t>malhadad@tu.edu.sa</t>
  </si>
  <si>
    <t>4270121</t>
  </si>
  <si>
    <t>ياسين مصطفي محمود شمس</t>
  </si>
  <si>
    <t>y.shams@tu.edu.sa</t>
  </si>
  <si>
    <t>4300144</t>
  </si>
  <si>
    <t>عدنان يعقوب علي عاشق</t>
  </si>
  <si>
    <t>Asheq.adnan@gmail.com</t>
  </si>
  <si>
    <t>4350151</t>
  </si>
  <si>
    <t>اكرم محمدعثمان ميراحمد طاشكندي</t>
  </si>
  <si>
    <t>a.akram@tu.edu.sa</t>
  </si>
  <si>
    <t>4310499</t>
  </si>
  <si>
    <t>نواف محسن عايض الحميدي</t>
  </si>
  <si>
    <t>n.alhumaidi@tu.edu.sa</t>
  </si>
  <si>
    <t>4340393</t>
  </si>
  <si>
    <t>صالح حامد احمد العريفي</t>
  </si>
  <si>
    <t>s.hamed@tu.edu.sa</t>
  </si>
  <si>
    <t>منسق قسم نظم المعلومات الإدارية لوحدة الأرشاد الأكاديمي والخريجين</t>
  </si>
  <si>
    <t>4370178</t>
  </si>
  <si>
    <t>زياد حمود عبدالعزيز العضيله المطيري</t>
  </si>
  <si>
    <t>A.zyad@tu.edu.sa</t>
  </si>
  <si>
    <t>4270091</t>
  </si>
  <si>
    <t>هتان عبدالعزيز راجح الشريف</t>
  </si>
  <si>
    <t>Hattan@tu.edu.sa</t>
  </si>
  <si>
    <t>4310166</t>
  </si>
  <si>
    <t>محمد عبد الله وصل الرفاعي</t>
  </si>
  <si>
    <t>Marefi@tu.edu.sa</t>
  </si>
  <si>
    <t>4310074</t>
  </si>
  <si>
    <t>فارعه محمد هليل السفري الحربي</t>
  </si>
  <si>
    <t>fharbi@tu.edu.sa</t>
  </si>
  <si>
    <t>4310309</t>
  </si>
  <si>
    <t>نجلاء فتح الرحمن احمد القاضي</t>
  </si>
  <si>
    <t>Najla.f@tu.edu.sa</t>
  </si>
  <si>
    <t>4310564</t>
  </si>
  <si>
    <t>ريم عبدالمحسن محمد القحطاني</t>
  </si>
  <si>
    <t>a.reem@tu.edu.sa</t>
  </si>
  <si>
    <t>4280521</t>
  </si>
  <si>
    <t>منال صالح عويمر السفياني</t>
  </si>
  <si>
    <t>m.sefyani@tu.edu.sa</t>
  </si>
  <si>
    <t>4280537</t>
  </si>
  <si>
    <t>شيمه احمد مبارك الزهراني</t>
  </si>
  <si>
    <t>shema@tu.edu.sa</t>
  </si>
  <si>
    <t>4310520</t>
  </si>
  <si>
    <t>شروق عايض عيضة الثبيتي</t>
  </si>
  <si>
    <t>shoroq@tu.edu.sa</t>
  </si>
  <si>
    <t>4360057</t>
  </si>
  <si>
    <t>سمر كامل محمد حسن عجيب</t>
  </si>
  <si>
    <t>Samar.ajeeb@hotmail.com</t>
  </si>
  <si>
    <t>4360081</t>
  </si>
  <si>
    <t>تماضر عواض نفيع السلمي</t>
  </si>
  <si>
    <t>Tamader.a@tu.edu.sa</t>
  </si>
  <si>
    <t>4390019</t>
  </si>
  <si>
    <t>مها مصطفي متولي قنصوه</t>
  </si>
  <si>
    <t>makonsowa@tu.edu.sa</t>
  </si>
  <si>
    <t>4390057</t>
  </si>
  <si>
    <t>غادة عبدالوهاب الكيلاني علي</t>
  </si>
  <si>
    <t>gabali@tu.edu.sa</t>
  </si>
  <si>
    <t>4390229</t>
  </si>
  <si>
    <t>ايمان سعد مشعان العتيبي</t>
  </si>
  <si>
    <t>esotaibi@tu.edu.sa</t>
  </si>
  <si>
    <t>غير متوفر</t>
  </si>
  <si>
    <t>4400045</t>
  </si>
  <si>
    <t>سوليمة ابراهيم بلحسن العبدلي</t>
  </si>
  <si>
    <t>seabdelli@tu.edu.sa</t>
  </si>
  <si>
    <t>منسقة قسم الاقتصاد والتمويل لوحدة الإرشاد الأكاديمي والخريجين</t>
  </si>
  <si>
    <t>4400231</t>
  </si>
  <si>
    <t>ماجدة بنت شعبان بعناني</t>
  </si>
  <si>
    <t>mchbouanani@tu.edu.sa</t>
  </si>
  <si>
    <t>4400232</t>
  </si>
  <si>
    <t>لمية بنت نورالدين الحسناوي</t>
  </si>
  <si>
    <t>lnhasnaowi@tu.edu.sa</t>
  </si>
  <si>
    <t>4410016</t>
  </si>
  <si>
    <t>اميرة عثمان عبدون محمد</t>
  </si>
  <si>
    <t>aomohammed@tu.edu.sa</t>
  </si>
  <si>
    <t>4410063</t>
  </si>
  <si>
    <t>انغام بنت محرز البريك</t>
  </si>
  <si>
    <t>ambrayek@tu.edu.sa</t>
  </si>
  <si>
    <t>4390237</t>
  </si>
  <si>
    <t>زكيه مرحوم شاهر الموسى العوفي</t>
  </si>
  <si>
    <t>zmofi@tu.edu.sa</t>
  </si>
  <si>
    <t>4330803</t>
  </si>
  <si>
    <t>رزان ابراهيم عاطي الطويرقي</t>
  </si>
  <si>
    <t>razan@tu.edu.sa</t>
  </si>
  <si>
    <t>4340446</t>
  </si>
  <si>
    <t>خديجة عواض زائد العتيبي</t>
  </si>
  <si>
    <t>khadeja.z@tu.edu.sa</t>
  </si>
  <si>
    <t>4340475</t>
  </si>
  <si>
    <t>سمية محمد ابراهيم مجلد</t>
  </si>
  <si>
    <t>S.mujallid@tu.edu.sa</t>
  </si>
  <si>
    <t>4350153</t>
  </si>
  <si>
    <t>وفاء محمد احمد الاسمري</t>
  </si>
  <si>
    <t>Wafaa.m@tu.edu.sa</t>
  </si>
  <si>
    <t>4360047</t>
  </si>
  <si>
    <t>لجين خالد فيصل الحجري النمري</t>
  </si>
  <si>
    <t>Lujain.k@tu.edu.sa</t>
  </si>
  <si>
    <t>4370091</t>
  </si>
  <si>
    <t>تهاني دخيل الله عطوان الزقله الذبياني</t>
  </si>
  <si>
    <t>tahani.d@tu.edu.sa</t>
  </si>
  <si>
    <t>4380044</t>
  </si>
  <si>
    <t>اشواق علي طامي العتيبي</t>
  </si>
  <si>
    <t>ashotaibi@tu.edu.sa</t>
  </si>
  <si>
    <t>4270101</t>
  </si>
  <si>
    <t>ساميه عائض ساير الجعيد</t>
  </si>
  <si>
    <t>Samia.a@tu.edu.sa</t>
  </si>
  <si>
    <t>4340464</t>
  </si>
  <si>
    <t>خلود راغب عبدالسلام القطب</t>
  </si>
  <si>
    <t>Kqutub@tu.edu.sa</t>
  </si>
  <si>
    <t>4380120</t>
  </si>
  <si>
    <t>عبير كامل سعد الفران</t>
  </si>
  <si>
    <t>akfarran@tu.edu.sa</t>
  </si>
  <si>
    <t>4300178</t>
  </si>
  <si>
    <t>اسراء عبدالباقي عبدالرؤوف داود</t>
  </si>
  <si>
    <t>Isadaoud@tu.edu.sa</t>
  </si>
  <si>
    <t>4310181</t>
  </si>
  <si>
    <t>ريم عبد الرحمن محمد الفيصلي</t>
  </si>
  <si>
    <t>r.alfaisaly@tu.edu.sa</t>
  </si>
  <si>
    <t>4310538</t>
  </si>
  <si>
    <t>مشاعل نافع اسماعيل السهلي</t>
  </si>
  <si>
    <t>N.mashael@tu.edu.sa</t>
  </si>
  <si>
    <t>4320066</t>
  </si>
  <si>
    <t>اشجان عبد الله سالم باعقبه</t>
  </si>
  <si>
    <t>ashgan@tu.edu.sa</t>
  </si>
  <si>
    <t>4390013</t>
  </si>
  <si>
    <t>شيرين شريف عبداللطيف شريف</t>
  </si>
  <si>
    <t>shasherif@tu.edu.sa</t>
  </si>
  <si>
    <t>4390211</t>
  </si>
  <si>
    <t>فوزية بخيت مبروك الحارثي</t>
  </si>
  <si>
    <t>fbharthi@tu.edu.sa</t>
  </si>
  <si>
    <t>4410047</t>
  </si>
  <si>
    <t>منى النيل مصطفي مرسال</t>
  </si>
  <si>
    <t>memursal@tu.edu.sa</t>
  </si>
  <si>
    <t>4410061</t>
  </si>
  <si>
    <t>حنان عثمان عمسيب محمد</t>
  </si>
  <si>
    <t>homohammed@tu.edu.sa</t>
  </si>
  <si>
    <t>منسقة قسم الإدارة لوحدة الإرشاد الأكاديمي والخريجين</t>
  </si>
  <si>
    <t>4280585</t>
  </si>
  <si>
    <t>انتصار عبدالكريم عامر القرشي</t>
  </si>
  <si>
    <t>Eaqurashi@tu.edu.sa</t>
  </si>
  <si>
    <t>4280662</t>
  </si>
  <si>
    <t>ايمان سليمان عبد الله العريفي</t>
  </si>
  <si>
    <t>لايوجد بريد جامعي</t>
  </si>
  <si>
    <t>4350111</t>
  </si>
  <si>
    <t>بيان محمود عبدالله بن ظفران</t>
  </si>
  <si>
    <t>Bayan.z@tu.edu.sa</t>
  </si>
  <si>
    <t>4390204</t>
  </si>
  <si>
    <t>البندري فهد عوضه آل سعييد الشهراني</t>
  </si>
  <si>
    <t>afshahrni@tu.edu.sa</t>
  </si>
  <si>
    <t>4390243</t>
  </si>
  <si>
    <t>ندى سعد مصلح الحارثي</t>
  </si>
  <si>
    <t>nsharthi@tu.edu.sa</t>
  </si>
  <si>
    <t>4310494</t>
  </si>
  <si>
    <t>اماني ياسين مسفر الخديدي</t>
  </si>
  <si>
    <t>y.amany@tu.edu.sa</t>
  </si>
  <si>
    <t>4310519</t>
  </si>
  <si>
    <t>امنة حماد محمود الطويرقي</t>
  </si>
  <si>
    <t>h.amanh@tu.edu.sa</t>
  </si>
  <si>
    <t>4350146</t>
  </si>
  <si>
    <t>غيداء غازي عايض الثبيتي</t>
  </si>
  <si>
    <t>Gh.ab39@tu.edu.sa</t>
  </si>
  <si>
    <t>4350147</t>
  </si>
  <si>
    <t>هناء محمد سعيد سويد</t>
  </si>
  <si>
    <t>Hmsuwayyid@tu.edu.sa</t>
  </si>
  <si>
    <t>4350179</t>
  </si>
  <si>
    <t>ابرار محسن جميل الثمالي</t>
  </si>
  <si>
    <t>amthamali@tu.edu.sa</t>
  </si>
  <si>
    <t>4390053</t>
  </si>
  <si>
    <t>رزان علي محمد باعيسى</t>
  </si>
  <si>
    <t>rabaeisa@tu.edu.sa</t>
  </si>
  <si>
    <t>4390114</t>
  </si>
  <si>
    <t>خلود احمد عيظه آل عصيدان الزهراني</t>
  </si>
  <si>
    <t>kazahrani@tu.edu.sa</t>
  </si>
  <si>
    <t>4270188</t>
  </si>
  <si>
    <t>اميره سعد محمد الفقيه</t>
  </si>
  <si>
    <t>amera@tu.edu.sa</t>
  </si>
  <si>
    <t>منسقة قسم التسويق لوحدة الإرشاد الأكاديمي والخريجين</t>
  </si>
  <si>
    <t>4400215</t>
  </si>
  <si>
    <t>صفاء حسن علي كرار محمد خير</t>
  </si>
  <si>
    <t>shkarar@tu.edu.sa</t>
  </si>
  <si>
    <t>4410065</t>
  </si>
  <si>
    <t>اميره محمد علي احمد</t>
  </si>
  <si>
    <t>Amahmed@tu.edu.sa</t>
  </si>
  <si>
    <t>4270195</t>
  </si>
  <si>
    <t>حنان ساعد مسعود المحياوي</t>
  </si>
  <si>
    <t>S.hanan@tu.edu.sa</t>
  </si>
  <si>
    <t>4340458</t>
  </si>
  <si>
    <t>بيان طايل غازي الحصيني</t>
  </si>
  <si>
    <t>Bayan.t@tu.edu.sa</t>
  </si>
  <si>
    <t>4350158</t>
  </si>
  <si>
    <t>رحاب محمد مرحوم الحميدي</t>
  </si>
  <si>
    <t>Rehab.h@tu.edu.sa</t>
  </si>
  <si>
    <t>4370037</t>
  </si>
  <si>
    <t>امل محمد احمد الثبيتي</t>
  </si>
  <si>
    <t>Amal.mm@tu.edu.sa</t>
  </si>
  <si>
    <t>4310093</t>
  </si>
  <si>
    <t>منال محمد سالم العيدروس</t>
  </si>
  <si>
    <t>mm.alidarous@tu.edu.sa</t>
  </si>
  <si>
    <t>4320173</t>
  </si>
  <si>
    <t>رشا عبدالرحمن اسحاق فلاته</t>
  </si>
  <si>
    <t>rasha@tu.edu.sa</t>
  </si>
  <si>
    <t>4280635</t>
  </si>
  <si>
    <t>نوير منير جميل القثامي</t>
  </si>
  <si>
    <t>Nwir.m@tu.edu.sa</t>
  </si>
  <si>
    <t>4380007</t>
  </si>
  <si>
    <t>رانيا سلطان محمد عبدالحميد</t>
  </si>
  <si>
    <t>Rania.s@tu.edu.sa</t>
  </si>
  <si>
    <t>4400084</t>
  </si>
  <si>
    <t>ميسر منيزل عبد الله الجبول</t>
  </si>
  <si>
    <t>majboul@tu.edu.sa</t>
  </si>
  <si>
    <t>مطوي قيده</t>
  </si>
  <si>
    <t>متوفاه</t>
  </si>
  <si>
    <t>4400207</t>
  </si>
  <si>
    <t>درية بله احمد مهدي</t>
  </si>
  <si>
    <t>dbmahdi@tu.edu.sa</t>
  </si>
  <si>
    <t>4400234</t>
  </si>
  <si>
    <t>حنان بنت محمد عامر</t>
  </si>
  <si>
    <t>hmamer@tu.edu.sa</t>
  </si>
  <si>
    <t>4400238</t>
  </si>
  <si>
    <t>السارة سعد علي احمد</t>
  </si>
  <si>
    <t>asahmad@tu.edu.sa</t>
  </si>
  <si>
    <t>منسقة قسم المحاسبة لوحدة الإرشاد الأكاديمي والخريجين</t>
  </si>
  <si>
    <t>4400251</t>
  </si>
  <si>
    <t>ريم احمد محمد علي</t>
  </si>
  <si>
    <t>rmali@tu.edu.sa</t>
  </si>
  <si>
    <t>4280536</t>
  </si>
  <si>
    <t>هند عبدالرازق مرزوق الطلحي</t>
  </si>
  <si>
    <t>hatalhi@tu.edu.sa</t>
  </si>
  <si>
    <t>4280594</t>
  </si>
  <si>
    <t>اميره سالم غانم اليحيوي</t>
  </si>
  <si>
    <t>amerh@tu.edu.sa</t>
  </si>
  <si>
    <t>4310533</t>
  </si>
  <si>
    <t>امنة محمد امين عبدالكريم امين بخاري</t>
  </si>
  <si>
    <t>m.amanh@tu.edu.sa</t>
  </si>
  <si>
    <t>4380049</t>
  </si>
  <si>
    <t>نوال محمد عايش الجعيد</t>
  </si>
  <si>
    <t>nmaljueid@tu.edu.sa</t>
  </si>
  <si>
    <t>4270103</t>
  </si>
  <si>
    <t>لمياء سعد أحمد الحازمي</t>
  </si>
  <si>
    <t>Lamia.s@tu.edu.sa</t>
  </si>
  <si>
    <t>4270193</t>
  </si>
  <si>
    <t>مريم معطي عطيان الطلحي</t>
  </si>
  <si>
    <t>Marem.m@tu.edu.sa</t>
  </si>
  <si>
    <t>4270194</t>
  </si>
  <si>
    <t>لطيفه سعد عبد الله الزهراني</t>
  </si>
  <si>
    <t>lszahrani@tu.edu.sa</t>
  </si>
  <si>
    <t>4280545</t>
  </si>
  <si>
    <t>اماني مصطفي يوسف غزاوي</t>
  </si>
  <si>
    <t>amghazzawi@tu.edu.sa</t>
  </si>
  <si>
    <t>4300190</t>
  </si>
  <si>
    <t>نوف محمد سعد الظاهري</t>
  </si>
  <si>
    <t>m.nonf@tu.edu.sa</t>
  </si>
  <si>
    <t>4310081</t>
  </si>
  <si>
    <t>نجود محمد جويعد الحجي السفياني</t>
  </si>
  <si>
    <t>ms.alsufyani@tu.edu.sa</t>
  </si>
  <si>
    <t>4310498</t>
  </si>
  <si>
    <t>منى ماجد محمد اليامي</t>
  </si>
  <si>
    <t>m.mona@tu.edu.sa</t>
  </si>
  <si>
    <t>4330807</t>
  </si>
  <si>
    <t>هناء علي ظافر القرني</t>
  </si>
  <si>
    <t>h.alqrni@tu.edu.sa</t>
  </si>
  <si>
    <t>4340471</t>
  </si>
  <si>
    <t>سعاد عبدالله صالح المالكي</t>
  </si>
  <si>
    <t>Souad.s@tu.edu.sa</t>
  </si>
  <si>
    <t>4320009</t>
  </si>
  <si>
    <t>دلال مفرح علي العمري</t>
  </si>
  <si>
    <t>d.mafarh@tu.edu.sa</t>
  </si>
  <si>
    <t>منسقة قسم نظم المعلومات الإدارية لوحدة الإرشاد الأكاديمي والخريجين</t>
  </si>
  <si>
    <t>4330812</t>
  </si>
  <si>
    <t>أريج محمد حسن عبدالغني العوفي</t>
  </si>
  <si>
    <t>a.ufi@tu.edu.sa</t>
  </si>
  <si>
    <t>4340449</t>
  </si>
  <si>
    <t>نوره علي احمد السفياني</t>
  </si>
  <si>
    <t>norahh@tu.edu.sa</t>
  </si>
  <si>
    <t>الجهة / القسم التابع له</t>
  </si>
  <si>
    <t>المسمى الوظيفي</t>
  </si>
  <si>
    <t>مسمى آخر (إن وجد)</t>
  </si>
  <si>
    <t>مسمى ثالث (احتياطي - إن وجد)</t>
  </si>
  <si>
    <t>ملاحظات</t>
  </si>
  <si>
    <t>ابرار عمر عايض الحارثي</t>
  </si>
  <si>
    <t>a.abrar@tu.edu.sa</t>
  </si>
  <si>
    <t xml:space="preserve"> إدارة كلية إدارة الأعمال</t>
  </si>
  <si>
    <t>مدير إدارة كلية إدارة الأعمال</t>
  </si>
  <si>
    <t>على رأس العمل</t>
  </si>
  <si>
    <t>فهد عبد الله عامر باجبع</t>
  </si>
  <si>
    <t>f.bajaba@tu.edu.sa</t>
  </si>
  <si>
    <t xml:space="preserve"> مكتب وكيل كلية إدارة الأعمال</t>
  </si>
  <si>
    <t>مدير مكتب وكيل كلية إدارة الأعمال</t>
  </si>
  <si>
    <t>يوسف علي عبدالله الشهراني</t>
  </si>
  <si>
    <t>y.shahrani@tu.edu.sa</t>
  </si>
  <si>
    <t>مستشار عميد الكلية للشؤون الإدارية</t>
  </si>
  <si>
    <t>محمد عبد ربه رده المالكي</t>
  </si>
  <si>
    <t>mahmad@tu.edu.sa</t>
  </si>
  <si>
    <t xml:space="preserve"> مكتب عميد كلية إدارة الأعمال</t>
  </si>
  <si>
    <t>مدير مكتب عميد كلية إدارة الأعمال</t>
  </si>
  <si>
    <t>سلطان غانم بداي العتيبي</t>
  </si>
  <si>
    <t>sggthami@tu.edu.sa</t>
  </si>
  <si>
    <t>لا يوجد</t>
  </si>
  <si>
    <t>مراسل إدارة كلية إدارة الأعمال</t>
  </si>
  <si>
    <t>نايف حصيني هليل العجيفي السلمي</t>
  </si>
  <si>
    <t xml:space="preserve"> n.slme@tu.edu.ss</t>
  </si>
  <si>
    <t>مركز الخدمات الأكاديمية والإدارية - شطر الطلاب</t>
  </si>
  <si>
    <t>مسؤول التصوير-شطر الطلاب</t>
  </si>
  <si>
    <t>صالح احمد عبدالله الدهيسي المالكي</t>
  </si>
  <si>
    <t xml:space="preserve"> s.aldahesi@tu.edu.sa</t>
  </si>
  <si>
    <t>ياسر مسفر مسعود المالكي</t>
  </si>
  <si>
    <t>y.masfar@tu.edu.sa</t>
  </si>
  <si>
    <t>مساعد مدير إدارة كلية إدارة الأعمال</t>
  </si>
  <si>
    <t>سكرتير أمين مجلس كلية إدارة الأعمال</t>
  </si>
  <si>
    <t>رشيد سلطان دعيكان البقمي</t>
  </si>
  <si>
    <t>r.alboqmi@tu.edu.sa</t>
  </si>
  <si>
    <t>مها عواض بنيه العتيبي</t>
  </si>
  <si>
    <t>maha.b@tu.edu.sa</t>
  </si>
  <si>
    <t>إدارة كلية إدارة الأعمال بشطر الطالبات</t>
  </si>
  <si>
    <t>حنان عبدالرشيد مخصوم بخاري</t>
  </si>
  <si>
    <t>hanan.b@tu.edu.sa</t>
  </si>
  <si>
    <t>مركز الخدمات الأكاديمية والإدارية - شطر الطالبات</t>
  </si>
  <si>
    <t>مسؤولة التصوير-شطر الطالبات</t>
  </si>
  <si>
    <t>شذى عبدالله علي الأنسي</t>
  </si>
  <si>
    <t>shatha.a@tu.edu.sa</t>
  </si>
  <si>
    <t xml:space="preserve"> قسم الاقتصاد والتمويل - شطر الطالبات</t>
  </si>
  <si>
    <t>سكرتير قسم الاقتصاد والتمويل - شطر الطالبات</t>
  </si>
  <si>
    <t>بدر فؤاد محمد الحربي</t>
  </si>
  <si>
    <t>b.alharbi@tu.edu.sa</t>
  </si>
  <si>
    <t xml:space="preserve"> قسم التسويق - شطر الطلاب</t>
  </si>
  <si>
    <t>سكرتير قسم التسويق - شطر الطلاب</t>
  </si>
  <si>
    <t>سلطان احمد حمدان الزهراني</t>
  </si>
  <si>
    <t>s.alamri@tu.edu.sa</t>
  </si>
  <si>
    <t xml:space="preserve"> قسم الإدارة - شطر الطلاب</t>
  </si>
  <si>
    <t>سكرتير قسم الإدارة - شطر الطلاب</t>
  </si>
  <si>
    <t>عبدالله سعيد عيضه المالكي</t>
  </si>
  <si>
    <t>a.almlki@tu.edu.sa</t>
  </si>
  <si>
    <t xml:space="preserve"> قسم نظم المعلومات الإدارية - شطر الطلاب</t>
  </si>
  <si>
    <t>سكرتير قسم نظم المعلومات الإدارية - شطر الطلاب</t>
  </si>
  <si>
    <t>مشاري محمد شباب آل حاسن العامري</t>
  </si>
  <si>
    <t xml:space="preserve"> mmamry@tu.edu.sa</t>
  </si>
  <si>
    <t xml:space="preserve"> قسم الاقتصاد والتمويل - شطر الطلاب</t>
  </si>
  <si>
    <t>سكرتير قسم الاقتصاد والتمويل - شطر الطلاب</t>
  </si>
  <si>
    <t>تركية تركي شرف الثقفي</t>
  </si>
  <si>
    <t>tshthaqafi@tu.edu.sa</t>
  </si>
  <si>
    <t xml:space="preserve"> قسم التسويق - شطر الطالبات</t>
  </si>
  <si>
    <t>سكرتير قسم التسويق - شطر الطالبات</t>
  </si>
  <si>
    <t>هاشم عبدالله حامد الشاهين الشريف</t>
  </si>
  <si>
    <t xml:space="preserve"> hasharif@tu.edu.sa</t>
  </si>
  <si>
    <t xml:space="preserve"> قسم المحاسبة - شطر الطلاب</t>
  </si>
  <si>
    <t>سكرتير قسم المحاسبة - شطر الطلاب</t>
  </si>
  <si>
    <t>صالحه عالي علي السفياني</t>
  </si>
  <si>
    <t xml:space="preserve"> sasofyani@tu.edu.sa</t>
  </si>
  <si>
    <t xml:space="preserve"> قسم المحاسبة - شطر الطالبات</t>
  </si>
  <si>
    <t>سكرتير قسم المحاسبة - شطر الطالبات</t>
  </si>
  <si>
    <t>سلطان عبدالله صقير الطلحي</t>
  </si>
  <si>
    <t>su.altalhy@tu.edu.sa</t>
  </si>
  <si>
    <t>نوير خلف سعد البنيوسي الحارثي</t>
  </si>
  <si>
    <t>Nkharthy@tu.edu.sa</t>
  </si>
  <si>
    <t>مكتب وكيلة كلية إدارة الأعمال</t>
  </si>
  <si>
    <t>مديرة مكتب وكيلة كلية إدارة الأعمال</t>
  </si>
  <si>
    <t>وضحى عويض عبيد الذيابي</t>
  </si>
  <si>
    <t>wothiyabi@tu.edu.sa</t>
  </si>
  <si>
    <t xml:space="preserve"> قسم الإدارة - شطر الطالبات</t>
  </si>
  <si>
    <t>سكرتير قسم الإدارة - شطر الطالبات</t>
  </si>
  <si>
    <t>خلود صالح محمد العصيمي</t>
  </si>
  <si>
    <t xml:space="preserve"> kalosaimi@tu.edu.sa</t>
  </si>
  <si>
    <t>وحدة الزيارات والمعادلات</t>
  </si>
  <si>
    <t>سكرتيرة وحدة الزيارات والمعادلات</t>
  </si>
  <si>
    <t>رهف صالح محمد العصيمي</t>
  </si>
  <si>
    <t xml:space="preserve"> rahaf.a.alotaibi@gmail.com</t>
  </si>
  <si>
    <t xml:space="preserve"> قسم نظم المعلومات الإدارية - شطر الطالبات</t>
  </si>
  <si>
    <t>سكرتير قسم نظم المعلومات الإدارية - شطر الطالبات</t>
  </si>
  <si>
    <t>عبد العزيز عوض عبد العزيز أبو حربة</t>
  </si>
  <si>
    <t xml:space="preserve"> abohrbah@tu.edu.sa</t>
  </si>
  <si>
    <t>مدير مكتب وكيل كلية إدارة الأعمال للتدريب</t>
  </si>
  <si>
    <t>القسم</t>
  </si>
  <si>
    <t>رقم الموظف</t>
  </si>
  <si>
    <t>اسم الموظف</t>
  </si>
  <si>
    <t>الوظيفة</t>
  </si>
  <si>
    <t>التخصص العام</t>
  </si>
  <si>
    <t>الاقتصاد والتمويل</t>
  </si>
  <si>
    <t>434070089</t>
  </si>
  <si>
    <t>اروى عوض احمد الخوضاني الثقفي</t>
  </si>
  <si>
    <t>علم نفس</t>
  </si>
  <si>
    <t>مبتعث خارجي</t>
  </si>
  <si>
    <t>434010534</t>
  </si>
  <si>
    <t>هند عبدالله هلال الثبيتي</t>
  </si>
  <si>
    <t>الاستثمار والتمويل</t>
  </si>
  <si>
    <t>434910543</t>
  </si>
  <si>
    <t>شيماء حاسن حامد القرشي</t>
  </si>
  <si>
    <t>تربية</t>
  </si>
  <si>
    <t>المحاسبة</t>
  </si>
  <si>
    <t>434033441</t>
  </si>
  <si>
    <t>ندى احمد محمد الزهراني</t>
  </si>
  <si>
    <t>العلوم</t>
  </si>
  <si>
    <t>434010125</t>
  </si>
  <si>
    <t>عائشة عيضة معيوض العضياني الحارثي</t>
  </si>
  <si>
    <t>محاسبة</t>
  </si>
  <si>
    <t>4280530</t>
  </si>
  <si>
    <t>ساره عبده حزام الحميري</t>
  </si>
  <si>
    <t>434010331</t>
  </si>
  <si>
    <t>رهام عوض حمد القثامي</t>
  </si>
  <si>
    <t>نظم المعلومات الادارية</t>
  </si>
  <si>
    <t>444000027</t>
  </si>
  <si>
    <t>روان عيضة سعيد الحنيشي الحارثي</t>
  </si>
  <si>
    <t>معلومات</t>
  </si>
  <si>
    <t>434050150</t>
  </si>
  <si>
    <t>لينا ردود عبدالله الجمالين الربيعي</t>
  </si>
  <si>
    <t>4320199</t>
  </si>
  <si>
    <t>نادر عبدالرحمن عبدالوهاب معلم</t>
  </si>
  <si>
    <t>نظم معلومات ادارية</t>
  </si>
  <si>
    <t>433000227</t>
  </si>
  <si>
    <t>رعد عبدالله محمد ال جعفر الغامدي</t>
  </si>
  <si>
    <t>التسويق</t>
  </si>
  <si>
    <t>444000007</t>
  </si>
  <si>
    <t>اريج سعيد سعيد الغامدي</t>
  </si>
  <si>
    <t>4340455</t>
  </si>
  <si>
    <t>حنان محمد صالح عابد الدماس</t>
  </si>
  <si>
    <t>اختبارات ومقاييس</t>
  </si>
  <si>
    <t>4390238</t>
  </si>
  <si>
    <t>رغدة عبدالله عبدالرحمن الجويسر</t>
  </si>
  <si>
    <t>الإدارة</t>
  </si>
  <si>
    <t>444000010</t>
  </si>
  <si>
    <t>لانا عويض راجح العبدلي الشريف</t>
  </si>
  <si>
    <t>ادارة اعمال</t>
  </si>
  <si>
    <t>4340456</t>
  </si>
  <si>
    <t>الهام علي عوض الله الثبيتي</t>
  </si>
  <si>
    <t>4390113</t>
  </si>
  <si>
    <t>فهد علي حمود الجعيد</t>
  </si>
  <si>
    <t>ادارة صحية</t>
  </si>
  <si>
    <t>أمينة قسم التسويق</t>
  </si>
  <si>
    <t>طارق حلمى عبدالنبي علي</t>
  </si>
  <si>
    <t xml:space="preserve"> t.helmi@tu.edu.sa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</si>
</sst>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b/>
      <sz val="10"/>
      <color rgb="FFFFFFFF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54B36"/>
        <bgColor rgb="FF154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 vertical="center" wrapText="1" readingOrder="2"/>
    </xf>
    <xf numFmtId="9" fontId="0" fillId="0" borderId="0" xfId="0" applyNumberFormat="1" applyAlignment="1">
      <alignment horizontal="center"/>
    </xf>
    <xf numFmtId="0" fontId="2" fillId="0" borderId="0" xfId="0" applyFont="1"/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.alharbi@tu.edu.sa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ha.b@tu.edu.sa" TargetMode="External"/><Relationship Id="rId13" Type="http://schemas.openxmlformats.org/officeDocument/2006/relationships/hyperlink" Target="mailto:a.almlki@tu.edu.sa" TargetMode="External"/><Relationship Id="rId3" Type="http://schemas.openxmlformats.org/officeDocument/2006/relationships/hyperlink" Target="mailto:y.shahrani@tu.edu.sa" TargetMode="External"/><Relationship Id="rId7" Type="http://schemas.openxmlformats.org/officeDocument/2006/relationships/hyperlink" Target="mailto:r.alboqmi@tu.edu.sa" TargetMode="External"/><Relationship Id="rId12" Type="http://schemas.openxmlformats.org/officeDocument/2006/relationships/hyperlink" Target="mailto:s.alamri@tu.edu.sa" TargetMode="External"/><Relationship Id="rId17" Type="http://schemas.openxmlformats.org/officeDocument/2006/relationships/hyperlink" Target="mailto:wothiyabi@tu.edu.sa" TargetMode="External"/><Relationship Id="rId2" Type="http://schemas.openxmlformats.org/officeDocument/2006/relationships/hyperlink" Target="mailto:f.bajaba@tu.edu.sa" TargetMode="External"/><Relationship Id="rId16" Type="http://schemas.openxmlformats.org/officeDocument/2006/relationships/hyperlink" Target="mailto:Nkharthy@tu.edu.sa" TargetMode="External"/><Relationship Id="rId1" Type="http://schemas.openxmlformats.org/officeDocument/2006/relationships/hyperlink" Target="mailto:a.abrar@tu.edu.sa" TargetMode="External"/><Relationship Id="rId6" Type="http://schemas.openxmlformats.org/officeDocument/2006/relationships/hyperlink" Target="mailto:y.masfar@tu.edu.sa" TargetMode="External"/><Relationship Id="rId11" Type="http://schemas.openxmlformats.org/officeDocument/2006/relationships/hyperlink" Target="mailto:b.alharbi@tu.edu.sa" TargetMode="External"/><Relationship Id="rId5" Type="http://schemas.openxmlformats.org/officeDocument/2006/relationships/hyperlink" Target="mailto:sggthami@tu.edu.sa" TargetMode="External"/><Relationship Id="rId15" Type="http://schemas.openxmlformats.org/officeDocument/2006/relationships/hyperlink" Target="mailto:su.altalhy@tu.edu.sa" TargetMode="External"/><Relationship Id="rId10" Type="http://schemas.openxmlformats.org/officeDocument/2006/relationships/hyperlink" Target="mailto:shatha.a@tu.edu.sa" TargetMode="External"/><Relationship Id="rId4" Type="http://schemas.openxmlformats.org/officeDocument/2006/relationships/hyperlink" Target="mailto:mahmad@tu.edu.sa" TargetMode="External"/><Relationship Id="rId9" Type="http://schemas.openxmlformats.org/officeDocument/2006/relationships/hyperlink" Target="mailto:hanan.b@tu.edu.sa" TargetMode="External"/><Relationship Id="rId14" Type="http://schemas.openxmlformats.org/officeDocument/2006/relationships/hyperlink" Target="mailto:tshthaqafi@tu.edu.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3"/>
  <sheetViews>
    <sheetView rightToLeft="1" tabSelected="1" topLeftCell="A60" workbookViewId="0">
      <selection activeCell="G81" sqref="G81"/>
    </sheetView>
  </sheetViews>
  <sheetFormatPr defaultRowHeight="12.75" x14ac:dyDescent="0.35"/>
  <cols>
    <col min="1" max="1" width="7.1328125" bestFit="1" customWidth="1"/>
    <col min="2" max="2" width="12.1328125" bestFit="1" customWidth="1"/>
    <col min="3" max="3" width="27.3984375" bestFit="1" customWidth="1"/>
    <col min="4" max="4" width="23.86328125" bestFit="1" customWidth="1"/>
    <col min="5" max="5" width="15.1328125" bestFit="1" customWidth="1"/>
    <col min="6" max="6" width="22" bestFit="1" customWidth="1"/>
    <col min="7" max="7" width="9" bestFit="1" customWidth="1"/>
    <col min="8" max="8" width="16" bestFit="1" customWidth="1"/>
    <col min="9" max="9" width="16.265625" bestFit="1" customWidth="1"/>
    <col min="10" max="10" width="69.3984375" bestFit="1" customWidth="1"/>
    <col min="11" max="11" width="33.265625" bestFit="1" customWidth="1"/>
    <col min="12" max="12" width="18" bestFit="1" customWidth="1"/>
    <col min="13" max="13" width="20" bestFit="1" customWidth="1"/>
    <col min="14" max="14" width="32.265625" bestFit="1" customWidth="1"/>
    <col min="15" max="15" width="20" bestFit="1" customWidth="1"/>
    <col min="16" max="16" width="13.86328125" bestFit="1" customWidth="1"/>
  </cols>
  <sheetData>
    <row r="1" spans="1:18" ht="13.1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2.75" customHeight="1" x14ac:dyDescent="0.35">
      <c r="A2">
        <v>1</v>
      </c>
      <c r="B2" t="s">
        <v>18</v>
      </c>
      <c r="C2" t="s">
        <v>19</v>
      </c>
      <c r="D2" t="s">
        <v>20</v>
      </c>
      <c r="E2">
        <v>503880111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L2" t="s">
        <v>26</v>
      </c>
      <c r="M2" t="s">
        <v>27</v>
      </c>
      <c r="N2">
        <f>IF(OR(ISNUMBER(SEARCH("معار",I2&amp;" "&amp;K2&amp;" "&amp;Q2)),ISNUMBER(SEARCH("مجاز",I2&amp;" "&amp;K2&amp;" "&amp;Q2)),ISNUMBER(SEARCH("مبتعث",I2&amp;" "&amp;K2&amp;" "&amp;Q2))),0,IF(M2="الحد الأدنى",3,IF(M2="50%",ROUND(IF(H2="استاذ",10,IF(H2="استاذ مشارك",12,IF(H2="استاذ مساعد",14,16)))/2,0),IF(H2="استاذ",10,IF(H2="استاذ مشارك",12,IF(H2="استاذ مساعد",14,16))))))</f>
        <v>3</v>
      </c>
      <c r="O2">
        <v>35</v>
      </c>
      <c r="Q2" s="2" t="s">
        <v>28</v>
      </c>
    </row>
    <row r="3" spans="1:18" ht="12.75" customHeight="1" x14ac:dyDescent="0.35">
      <c r="A3">
        <v>2</v>
      </c>
      <c r="B3" t="s">
        <v>29</v>
      </c>
      <c r="C3" t="s">
        <v>30</v>
      </c>
      <c r="D3" t="s">
        <v>31</v>
      </c>
      <c r="E3">
        <v>547042776</v>
      </c>
      <c r="F3" t="s">
        <v>32</v>
      </c>
      <c r="G3" t="s">
        <v>33</v>
      </c>
      <c r="H3" t="s">
        <v>23</v>
      </c>
      <c r="I3" t="s">
        <v>34</v>
      </c>
      <c r="J3" t="s">
        <v>35</v>
      </c>
      <c r="L3" t="s">
        <v>26</v>
      </c>
      <c r="M3" t="s">
        <v>27</v>
      </c>
      <c r="N3">
        <f t="shared" ref="N3:N33" si="0">IF(OR(ISNUMBER(SEARCH("معار",I3&amp;" "&amp;K3&amp;" "&amp;Q3)),ISNUMBER(SEARCH("مجاز",I3&amp;" "&amp;K3&amp;" "&amp;Q3)),ISNUMBER(SEARCH("مبتعث",I3&amp;" "&amp;K3&amp;" "&amp;Q3))),0,IF(M3="الحد الأدنى",3,IF(M3="50%",ROUND(IF(H3="استاذ",10,IF(H3="استاذ مشارك",12,IF(H3="استاذ مساعد",14,16)))/2,0),IF(H3="استاذ",10,IF(H3="استاذ مشارك",12,IF(H3="استاذ مساعد",14,16))))))</f>
        <v>3</v>
      </c>
      <c r="O3">
        <v>39</v>
      </c>
      <c r="Q3" s="2" t="s">
        <v>28</v>
      </c>
    </row>
    <row r="4" spans="1:18" ht="12.75" customHeight="1" x14ac:dyDescent="0.35">
      <c r="A4">
        <v>3</v>
      </c>
      <c r="B4" t="s">
        <v>36</v>
      </c>
      <c r="C4" t="s">
        <v>37</v>
      </c>
      <c r="D4" t="s">
        <v>38</v>
      </c>
      <c r="E4">
        <v>562000373</v>
      </c>
      <c r="F4" t="s">
        <v>39</v>
      </c>
      <c r="G4" t="s">
        <v>22</v>
      </c>
      <c r="H4" t="s">
        <v>40</v>
      </c>
      <c r="I4" t="s">
        <v>41</v>
      </c>
      <c r="J4" t="s">
        <v>42</v>
      </c>
      <c r="K4" t="s">
        <v>43</v>
      </c>
      <c r="L4" t="s">
        <v>26</v>
      </c>
      <c r="M4" t="s">
        <v>27</v>
      </c>
      <c r="N4">
        <f t="shared" si="0"/>
        <v>3</v>
      </c>
      <c r="O4">
        <v>22</v>
      </c>
      <c r="P4" t="s">
        <v>44</v>
      </c>
      <c r="Q4" s="2" t="s">
        <v>28</v>
      </c>
    </row>
    <row r="5" spans="1:18" ht="12.75" customHeight="1" x14ac:dyDescent="0.35">
      <c r="A5">
        <v>4</v>
      </c>
      <c r="B5" t="s">
        <v>45</v>
      </c>
      <c r="C5" t="s">
        <v>46</v>
      </c>
      <c r="D5" t="s">
        <v>47</v>
      </c>
      <c r="E5">
        <v>548477277</v>
      </c>
      <c r="F5" t="s">
        <v>48</v>
      </c>
      <c r="G5" t="s">
        <v>22</v>
      </c>
      <c r="H5" t="s">
        <v>23</v>
      </c>
      <c r="I5" t="s">
        <v>41</v>
      </c>
      <c r="J5" t="s">
        <v>49</v>
      </c>
      <c r="K5" t="s">
        <v>50</v>
      </c>
      <c r="L5" t="s">
        <v>26</v>
      </c>
      <c r="M5" t="s">
        <v>27</v>
      </c>
      <c r="N5">
        <f t="shared" si="0"/>
        <v>3</v>
      </c>
      <c r="O5">
        <v>24</v>
      </c>
      <c r="P5" t="s">
        <v>51</v>
      </c>
      <c r="Q5" s="2" t="s">
        <v>28</v>
      </c>
    </row>
    <row r="6" spans="1:18" ht="12.75" customHeight="1" x14ac:dyDescent="0.35">
      <c r="A6">
        <v>5</v>
      </c>
      <c r="B6" t="s">
        <v>52</v>
      </c>
      <c r="C6" t="s">
        <v>53</v>
      </c>
      <c r="D6" t="s">
        <v>54</v>
      </c>
      <c r="E6">
        <v>593349333</v>
      </c>
      <c r="F6" t="s">
        <v>48</v>
      </c>
      <c r="G6" t="s">
        <v>33</v>
      </c>
      <c r="H6" t="s">
        <v>40</v>
      </c>
      <c r="I6" t="s">
        <v>55</v>
      </c>
      <c r="J6" t="s">
        <v>56</v>
      </c>
      <c r="L6" t="s">
        <v>26</v>
      </c>
      <c r="M6" t="s">
        <v>27</v>
      </c>
      <c r="N6">
        <f t="shared" si="0"/>
        <v>3</v>
      </c>
      <c r="Q6" s="2" t="s">
        <v>28</v>
      </c>
    </row>
    <row r="7" spans="1:18" ht="12.75" customHeight="1" x14ac:dyDescent="0.35">
      <c r="A7">
        <v>6</v>
      </c>
      <c r="B7" t="s">
        <v>57</v>
      </c>
      <c r="C7" t="s">
        <v>58</v>
      </c>
      <c r="D7" t="s">
        <v>59</v>
      </c>
      <c r="E7">
        <v>560032404</v>
      </c>
      <c r="F7" t="s">
        <v>39</v>
      </c>
      <c r="G7" t="s">
        <v>22</v>
      </c>
      <c r="H7" t="s">
        <v>23</v>
      </c>
      <c r="I7" t="s">
        <v>60</v>
      </c>
      <c r="J7" t="s">
        <v>61</v>
      </c>
      <c r="K7" t="s">
        <v>62</v>
      </c>
      <c r="L7" t="s">
        <v>26</v>
      </c>
      <c r="M7" t="s">
        <v>27</v>
      </c>
      <c r="N7">
        <f t="shared" si="0"/>
        <v>3</v>
      </c>
      <c r="O7">
        <v>19</v>
      </c>
      <c r="P7" t="s">
        <v>63</v>
      </c>
      <c r="Q7" s="2" t="s">
        <v>28</v>
      </c>
    </row>
    <row r="8" spans="1:18" ht="12.75" customHeight="1" x14ac:dyDescent="0.35">
      <c r="A8">
        <v>7</v>
      </c>
      <c r="B8" t="s">
        <v>64</v>
      </c>
      <c r="C8" t="s">
        <v>65</v>
      </c>
      <c r="D8" t="s">
        <v>66</v>
      </c>
      <c r="E8">
        <v>555529285</v>
      </c>
      <c r="F8" t="s">
        <v>67</v>
      </c>
      <c r="G8" t="s">
        <v>33</v>
      </c>
      <c r="H8" t="s">
        <v>40</v>
      </c>
      <c r="I8" t="s">
        <v>60</v>
      </c>
      <c r="J8" t="s">
        <v>68</v>
      </c>
      <c r="L8" t="s">
        <v>26</v>
      </c>
      <c r="M8" t="s">
        <v>27</v>
      </c>
      <c r="N8">
        <f t="shared" si="0"/>
        <v>3</v>
      </c>
      <c r="O8">
        <v>107</v>
      </c>
      <c r="Q8" s="2" t="s">
        <v>28</v>
      </c>
    </row>
    <row r="9" spans="1:18" ht="12.75" customHeight="1" x14ac:dyDescent="0.35">
      <c r="A9">
        <v>8</v>
      </c>
      <c r="B9" t="s">
        <v>69</v>
      </c>
      <c r="C9" t="s">
        <v>70</v>
      </c>
      <c r="D9" t="s">
        <v>71</v>
      </c>
      <c r="E9">
        <v>544344533</v>
      </c>
      <c r="F9" t="s">
        <v>32</v>
      </c>
      <c r="G9" t="s">
        <v>22</v>
      </c>
      <c r="H9" t="s">
        <v>23</v>
      </c>
      <c r="I9" t="s">
        <v>60</v>
      </c>
      <c r="J9" t="s">
        <v>72</v>
      </c>
      <c r="L9" t="s">
        <v>26</v>
      </c>
      <c r="M9" t="s">
        <v>27</v>
      </c>
      <c r="N9">
        <f t="shared" si="0"/>
        <v>3</v>
      </c>
      <c r="O9">
        <v>107</v>
      </c>
      <c r="Q9" s="2" t="s">
        <v>28</v>
      </c>
    </row>
    <row r="10" spans="1:18" ht="12.75" customHeight="1" x14ac:dyDescent="0.35">
      <c r="A10">
        <v>9</v>
      </c>
      <c r="B10" t="s">
        <v>73</v>
      </c>
      <c r="C10" t="s">
        <v>74</v>
      </c>
      <c r="D10" t="s">
        <v>75</v>
      </c>
      <c r="E10">
        <v>501713733</v>
      </c>
      <c r="F10" t="s">
        <v>39</v>
      </c>
      <c r="G10" t="s">
        <v>22</v>
      </c>
      <c r="H10" t="s">
        <v>40</v>
      </c>
      <c r="I10" t="s">
        <v>60</v>
      </c>
      <c r="J10" t="s">
        <v>76</v>
      </c>
      <c r="L10" t="s">
        <v>26</v>
      </c>
      <c r="M10" t="s">
        <v>27</v>
      </c>
      <c r="N10">
        <f t="shared" si="0"/>
        <v>3</v>
      </c>
      <c r="O10">
        <v>121</v>
      </c>
      <c r="Q10" s="2" t="s">
        <v>28</v>
      </c>
    </row>
    <row r="11" spans="1:18" ht="12.75" customHeight="1" x14ac:dyDescent="0.35">
      <c r="A11">
        <v>10</v>
      </c>
      <c r="B11" t="s">
        <v>77</v>
      </c>
      <c r="C11" t="s">
        <v>78</v>
      </c>
      <c r="D11" t="s">
        <v>79</v>
      </c>
      <c r="E11">
        <v>550615060</v>
      </c>
      <c r="F11" t="s">
        <v>48</v>
      </c>
      <c r="G11" t="s">
        <v>33</v>
      </c>
      <c r="H11" t="s">
        <v>40</v>
      </c>
      <c r="I11" t="s">
        <v>60</v>
      </c>
      <c r="J11" t="s">
        <v>80</v>
      </c>
      <c r="L11" t="s">
        <v>26</v>
      </c>
      <c r="M11" t="s">
        <v>27</v>
      </c>
      <c r="N11">
        <f t="shared" si="0"/>
        <v>3</v>
      </c>
      <c r="O11">
        <v>54</v>
      </c>
      <c r="Q11" s="2" t="s">
        <v>28</v>
      </c>
    </row>
    <row r="12" spans="1:18" ht="12.75" customHeight="1" x14ac:dyDescent="0.35">
      <c r="A12">
        <v>11</v>
      </c>
      <c r="B12" t="s">
        <v>81</v>
      </c>
      <c r="C12" t="s">
        <v>82</v>
      </c>
      <c r="D12" t="s">
        <v>83</v>
      </c>
      <c r="E12">
        <v>540045870</v>
      </c>
      <c r="F12" t="s">
        <v>48</v>
      </c>
      <c r="G12" t="s">
        <v>33</v>
      </c>
      <c r="H12" t="s">
        <v>40</v>
      </c>
      <c r="I12" t="s">
        <v>84</v>
      </c>
      <c r="J12" t="s">
        <v>85</v>
      </c>
      <c r="L12" t="s">
        <v>26</v>
      </c>
      <c r="M12" t="s">
        <v>86</v>
      </c>
      <c r="N12">
        <f t="shared" si="0"/>
        <v>14</v>
      </c>
      <c r="Q12" s="2" t="s">
        <v>28</v>
      </c>
    </row>
    <row r="13" spans="1:18" ht="12.75" customHeight="1" x14ac:dyDescent="0.35">
      <c r="A13">
        <v>12</v>
      </c>
      <c r="B13" t="s">
        <v>87</v>
      </c>
      <c r="C13" t="s">
        <v>88</v>
      </c>
      <c r="D13" t="s">
        <v>89</v>
      </c>
      <c r="E13">
        <v>551751515</v>
      </c>
      <c r="F13" t="s">
        <v>48</v>
      </c>
      <c r="G13" t="s">
        <v>22</v>
      </c>
      <c r="H13" t="s">
        <v>90</v>
      </c>
      <c r="I13" t="s">
        <v>91</v>
      </c>
      <c r="J13" t="s">
        <v>92</v>
      </c>
      <c r="K13" t="s">
        <v>93</v>
      </c>
      <c r="L13" t="s">
        <v>26</v>
      </c>
      <c r="M13" t="s">
        <v>86</v>
      </c>
      <c r="N13">
        <f t="shared" si="0"/>
        <v>16</v>
      </c>
      <c r="O13">
        <v>56</v>
      </c>
      <c r="Q13" s="2" t="s">
        <v>28</v>
      </c>
    </row>
    <row r="14" spans="1:18" ht="12.75" customHeight="1" x14ac:dyDescent="0.35">
      <c r="A14">
        <v>13</v>
      </c>
      <c r="B14" t="s">
        <v>94</v>
      </c>
      <c r="C14" t="s">
        <v>95</v>
      </c>
      <c r="D14" t="s">
        <v>96</v>
      </c>
      <c r="E14">
        <v>581244604</v>
      </c>
      <c r="F14" t="s">
        <v>67</v>
      </c>
      <c r="G14" t="s">
        <v>22</v>
      </c>
      <c r="H14" t="s">
        <v>40</v>
      </c>
      <c r="I14" t="s">
        <v>97</v>
      </c>
      <c r="J14" t="s">
        <v>98</v>
      </c>
      <c r="L14" t="s">
        <v>26</v>
      </c>
      <c r="M14" t="s">
        <v>86</v>
      </c>
      <c r="N14">
        <f t="shared" si="0"/>
        <v>14</v>
      </c>
      <c r="O14">
        <v>36</v>
      </c>
      <c r="P14" t="s">
        <v>99</v>
      </c>
      <c r="Q14" s="2" t="s">
        <v>100</v>
      </c>
      <c r="R14" t="s">
        <v>101</v>
      </c>
    </row>
    <row r="15" spans="1:18" ht="12.75" customHeight="1" x14ac:dyDescent="0.35">
      <c r="A15">
        <v>14</v>
      </c>
      <c r="B15" t="s">
        <v>102</v>
      </c>
      <c r="C15" t="s">
        <v>103</v>
      </c>
      <c r="D15" t="s">
        <v>104</v>
      </c>
      <c r="E15">
        <v>533040494</v>
      </c>
      <c r="F15" t="s">
        <v>67</v>
      </c>
      <c r="G15" t="s">
        <v>33</v>
      </c>
      <c r="H15" t="s">
        <v>40</v>
      </c>
      <c r="I15" t="s">
        <v>97</v>
      </c>
      <c r="J15" t="s">
        <v>105</v>
      </c>
      <c r="K15" t="s">
        <v>738</v>
      </c>
      <c r="L15" s="4" t="s">
        <v>26</v>
      </c>
      <c r="M15" t="s">
        <v>86</v>
      </c>
      <c r="N15">
        <f t="shared" si="0"/>
        <v>14</v>
      </c>
      <c r="Q15" s="2" t="s">
        <v>100</v>
      </c>
      <c r="R15" t="s">
        <v>101</v>
      </c>
    </row>
    <row r="16" spans="1:18" ht="12.75" customHeight="1" x14ac:dyDescent="0.35">
      <c r="A16">
        <v>15</v>
      </c>
      <c r="B16" t="s">
        <v>106</v>
      </c>
      <c r="C16" t="s">
        <v>107</v>
      </c>
      <c r="D16" t="s">
        <v>108</v>
      </c>
      <c r="E16">
        <v>532444464</v>
      </c>
      <c r="F16" t="s">
        <v>21</v>
      </c>
      <c r="G16" t="s">
        <v>22</v>
      </c>
      <c r="H16" t="s">
        <v>40</v>
      </c>
      <c r="I16" t="s">
        <v>109</v>
      </c>
      <c r="J16" t="s">
        <v>110</v>
      </c>
      <c r="L16" t="s">
        <v>111</v>
      </c>
      <c r="M16" t="s">
        <v>86</v>
      </c>
      <c r="N16">
        <f t="shared" si="0"/>
        <v>14</v>
      </c>
      <c r="O16">
        <v>8</v>
      </c>
      <c r="Q16" s="2" t="s">
        <v>100</v>
      </c>
      <c r="R16" t="s">
        <v>101</v>
      </c>
    </row>
    <row r="17" spans="1:18" ht="12.75" customHeight="1" x14ac:dyDescent="0.35">
      <c r="A17">
        <v>16</v>
      </c>
      <c r="B17" t="s">
        <v>112</v>
      </c>
      <c r="C17" t="s">
        <v>113</v>
      </c>
      <c r="D17" t="s">
        <v>114</v>
      </c>
      <c r="E17">
        <v>563221687</v>
      </c>
      <c r="F17" t="s">
        <v>67</v>
      </c>
      <c r="G17" t="s">
        <v>22</v>
      </c>
      <c r="H17" t="s">
        <v>40</v>
      </c>
      <c r="I17" t="s">
        <v>109</v>
      </c>
      <c r="J17" t="s">
        <v>115</v>
      </c>
      <c r="L17" t="s">
        <v>111</v>
      </c>
      <c r="M17" t="s">
        <v>86</v>
      </c>
      <c r="N17">
        <f t="shared" si="0"/>
        <v>14</v>
      </c>
      <c r="O17">
        <v>70</v>
      </c>
      <c r="Q17" s="2" t="s">
        <v>100</v>
      </c>
      <c r="R17" t="s">
        <v>101</v>
      </c>
    </row>
    <row r="18" spans="1:18" ht="12.75" customHeight="1" x14ac:dyDescent="0.35">
      <c r="A18">
        <v>17</v>
      </c>
      <c r="B18" t="s">
        <v>116</v>
      </c>
      <c r="C18" t="s">
        <v>117</v>
      </c>
      <c r="D18" t="s">
        <v>118</v>
      </c>
      <c r="E18">
        <v>558542005</v>
      </c>
      <c r="F18" t="s">
        <v>32</v>
      </c>
      <c r="G18" t="s">
        <v>22</v>
      </c>
      <c r="H18" t="s">
        <v>40</v>
      </c>
      <c r="I18" t="s">
        <v>109</v>
      </c>
      <c r="J18" t="s">
        <v>119</v>
      </c>
      <c r="L18" t="s">
        <v>111</v>
      </c>
      <c r="M18" t="s">
        <v>86</v>
      </c>
      <c r="N18">
        <f t="shared" si="0"/>
        <v>14</v>
      </c>
      <c r="O18">
        <v>106</v>
      </c>
      <c r="Q18" s="2" t="s">
        <v>100</v>
      </c>
      <c r="R18" t="s">
        <v>101</v>
      </c>
    </row>
    <row r="19" spans="1:18" ht="12.75" customHeight="1" x14ac:dyDescent="0.35">
      <c r="A19">
        <v>18</v>
      </c>
      <c r="B19" t="s">
        <v>120</v>
      </c>
      <c r="C19" t="s">
        <v>121</v>
      </c>
      <c r="D19" t="s">
        <v>122</v>
      </c>
      <c r="E19">
        <v>552756387</v>
      </c>
      <c r="F19" t="s">
        <v>39</v>
      </c>
      <c r="G19" t="s">
        <v>22</v>
      </c>
      <c r="H19" t="s">
        <v>40</v>
      </c>
      <c r="I19" t="s">
        <v>109</v>
      </c>
      <c r="J19" t="s">
        <v>123</v>
      </c>
      <c r="L19" t="s">
        <v>111</v>
      </c>
      <c r="M19" t="s">
        <v>86</v>
      </c>
      <c r="N19">
        <f t="shared" si="0"/>
        <v>14</v>
      </c>
      <c r="O19">
        <v>120</v>
      </c>
      <c r="Q19" s="2" t="s">
        <v>100</v>
      </c>
      <c r="R19" t="s">
        <v>101</v>
      </c>
    </row>
    <row r="20" spans="1:18" ht="12.75" customHeight="1" x14ac:dyDescent="0.35">
      <c r="A20">
        <v>19</v>
      </c>
      <c r="B20" t="s">
        <v>124</v>
      </c>
      <c r="C20" t="s">
        <v>125</v>
      </c>
      <c r="D20" t="s">
        <v>126</v>
      </c>
      <c r="E20">
        <v>598711850</v>
      </c>
      <c r="F20" t="s">
        <v>48</v>
      </c>
      <c r="G20" t="s">
        <v>22</v>
      </c>
      <c r="H20" t="s">
        <v>23</v>
      </c>
      <c r="I20" t="s">
        <v>109</v>
      </c>
      <c r="J20" t="s">
        <v>127</v>
      </c>
      <c r="L20" t="s">
        <v>111</v>
      </c>
      <c r="M20" t="s">
        <v>86</v>
      </c>
      <c r="N20">
        <f t="shared" si="0"/>
        <v>12</v>
      </c>
      <c r="O20">
        <v>57</v>
      </c>
      <c r="Q20" s="2" t="s">
        <v>100</v>
      </c>
      <c r="R20" t="s">
        <v>101</v>
      </c>
    </row>
    <row r="21" spans="1:18" ht="12.75" customHeight="1" x14ac:dyDescent="0.35">
      <c r="A21">
        <v>20</v>
      </c>
      <c r="B21" t="s">
        <v>128</v>
      </c>
      <c r="C21" t="s">
        <v>129</v>
      </c>
      <c r="D21" t="s">
        <v>130</v>
      </c>
      <c r="E21">
        <v>555601501</v>
      </c>
      <c r="F21" t="s">
        <v>67</v>
      </c>
      <c r="G21" t="s">
        <v>33</v>
      </c>
      <c r="H21" t="s">
        <v>40</v>
      </c>
      <c r="I21" t="s">
        <v>109</v>
      </c>
      <c r="J21" t="s">
        <v>131</v>
      </c>
      <c r="L21" t="s">
        <v>111</v>
      </c>
      <c r="M21" t="s">
        <v>86</v>
      </c>
      <c r="N21">
        <f t="shared" si="0"/>
        <v>14</v>
      </c>
      <c r="Q21" s="2" t="s">
        <v>28</v>
      </c>
    </row>
    <row r="22" spans="1:18" ht="12.75" customHeight="1" x14ac:dyDescent="0.35">
      <c r="A22">
        <v>21</v>
      </c>
      <c r="B22" t="s">
        <v>132</v>
      </c>
      <c r="C22" t="s">
        <v>133</v>
      </c>
      <c r="D22" t="s">
        <v>134</v>
      </c>
      <c r="E22">
        <v>590078733</v>
      </c>
      <c r="F22" t="s">
        <v>67</v>
      </c>
      <c r="G22" t="s">
        <v>33</v>
      </c>
      <c r="H22" t="s">
        <v>40</v>
      </c>
      <c r="I22" t="s">
        <v>109</v>
      </c>
      <c r="J22" t="s">
        <v>135</v>
      </c>
      <c r="L22" t="s">
        <v>111</v>
      </c>
      <c r="M22" t="s">
        <v>86</v>
      </c>
      <c r="N22">
        <f t="shared" si="0"/>
        <v>14</v>
      </c>
      <c r="Q22" s="2" t="s">
        <v>28</v>
      </c>
    </row>
    <row r="23" spans="1:18" ht="12.75" customHeight="1" x14ac:dyDescent="0.35">
      <c r="A23">
        <v>22</v>
      </c>
      <c r="B23" t="s">
        <v>136</v>
      </c>
      <c r="C23" t="s">
        <v>137</v>
      </c>
      <c r="D23" t="s">
        <v>138</v>
      </c>
      <c r="E23">
        <v>506398852</v>
      </c>
      <c r="F23" t="s">
        <v>32</v>
      </c>
      <c r="G23" t="s">
        <v>33</v>
      </c>
      <c r="H23" t="s">
        <v>40</v>
      </c>
      <c r="I23" t="s">
        <v>109</v>
      </c>
      <c r="J23" t="s">
        <v>139</v>
      </c>
      <c r="L23" t="s">
        <v>111</v>
      </c>
      <c r="M23" t="s">
        <v>86</v>
      </c>
      <c r="N23">
        <f t="shared" si="0"/>
        <v>14</v>
      </c>
      <c r="Q23" s="2" t="s">
        <v>100</v>
      </c>
      <c r="R23" t="s">
        <v>101</v>
      </c>
    </row>
    <row r="24" spans="1:18" ht="12.75" customHeight="1" x14ac:dyDescent="0.35">
      <c r="A24">
        <v>23</v>
      </c>
      <c r="B24" t="s">
        <v>140</v>
      </c>
      <c r="C24" t="s">
        <v>141</v>
      </c>
      <c r="D24" t="s">
        <v>142</v>
      </c>
      <c r="E24">
        <v>533929966</v>
      </c>
      <c r="F24" t="s">
        <v>48</v>
      </c>
      <c r="G24" t="s">
        <v>33</v>
      </c>
      <c r="H24" t="s">
        <v>40</v>
      </c>
      <c r="I24" t="s">
        <v>109</v>
      </c>
      <c r="J24" t="s">
        <v>143</v>
      </c>
      <c r="L24" t="s">
        <v>111</v>
      </c>
      <c r="M24" t="s">
        <v>86</v>
      </c>
      <c r="N24">
        <f t="shared" si="0"/>
        <v>14</v>
      </c>
      <c r="Q24" s="2" t="s">
        <v>28</v>
      </c>
    </row>
    <row r="25" spans="1:18" ht="12.75" customHeight="1" x14ac:dyDescent="0.35">
      <c r="A25">
        <v>24</v>
      </c>
      <c r="B25" t="s">
        <v>144</v>
      </c>
      <c r="C25" t="s">
        <v>145</v>
      </c>
      <c r="D25" t="s">
        <v>146</v>
      </c>
      <c r="E25">
        <v>597020048</v>
      </c>
      <c r="F25" t="s">
        <v>67</v>
      </c>
      <c r="G25" t="s">
        <v>22</v>
      </c>
      <c r="H25" t="s">
        <v>23</v>
      </c>
      <c r="I25" t="s">
        <v>147</v>
      </c>
      <c r="J25" t="s">
        <v>148</v>
      </c>
      <c r="L25" t="s">
        <v>26</v>
      </c>
      <c r="M25" t="s">
        <v>149</v>
      </c>
      <c r="N25">
        <f t="shared" si="0"/>
        <v>6</v>
      </c>
      <c r="O25">
        <v>78</v>
      </c>
      <c r="Q25" s="2" t="s">
        <v>28</v>
      </c>
    </row>
    <row r="26" spans="1:18" ht="12.75" customHeight="1" x14ac:dyDescent="0.35">
      <c r="A26">
        <v>25</v>
      </c>
      <c r="B26" t="s">
        <v>150</v>
      </c>
      <c r="C26" t="s">
        <v>151</v>
      </c>
      <c r="D26" t="s">
        <v>152</v>
      </c>
      <c r="E26">
        <v>553690099</v>
      </c>
      <c r="F26" t="s">
        <v>67</v>
      </c>
      <c r="G26" t="s">
        <v>22</v>
      </c>
      <c r="H26" t="s">
        <v>23</v>
      </c>
      <c r="I26" t="s">
        <v>147</v>
      </c>
      <c r="J26" t="s">
        <v>153</v>
      </c>
      <c r="K26" t="s">
        <v>154</v>
      </c>
      <c r="L26" t="s">
        <v>26</v>
      </c>
      <c r="M26" t="s">
        <v>27</v>
      </c>
      <c r="N26">
        <f t="shared" si="0"/>
        <v>3</v>
      </c>
      <c r="O26">
        <v>74</v>
      </c>
      <c r="Q26" s="2" t="s">
        <v>28</v>
      </c>
    </row>
    <row r="27" spans="1:18" ht="12.75" customHeight="1" x14ac:dyDescent="0.35">
      <c r="A27">
        <v>26</v>
      </c>
      <c r="B27" t="s">
        <v>155</v>
      </c>
      <c r="C27" t="s">
        <v>156</v>
      </c>
      <c r="D27" t="s">
        <v>157</v>
      </c>
      <c r="E27">
        <v>501296069</v>
      </c>
      <c r="F27" t="s">
        <v>21</v>
      </c>
      <c r="G27" t="s">
        <v>22</v>
      </c>
      <c r="H27" t="s">
        <v>23</v>
      </c>
      <c r="I27" t="s">
        <v>158</v>
      </c>
      <c r="J27" t="s">
        <v>159</v>
      </c>
      <c r="L27" t="s">
        <v>26</v>
      </c>
      <c r="N27">
        <f t="shared" si="0"/>
        <v>0</v>
      </c>
      <c r="O27">
        <v>25</v>
      </c>
      <c r="Q27" s="2" t="s">
        <v>28</v>
      </c>
    </row>
    <row r="28" spans="1:18" ht="12.75" customHeight="1" x14ac:dyDescent="0.35">
      <c r="A28">
        <v>27</v>
      </c>
      <c r="B28" t="s">
        <v>160</v>
      </c>
      <c r="C28" t="s">
        <v>161</v>
      </c>
      <c r="D28" t="s">
        <v>162</v>
      </c>
      <c r="E28">
        <v>556700466</v>
      </c>
      <c r="F28" t="s">
        <v>48</v>
      </c>
      <c r="G28" t="s">
        <v>22</v>
      </c>
      <c r="H28" t="s">
        <v>40</v>
      </c>
      <c r="L28" s="3"/>
      <c r="M28" t="s">
        <v>86</v>
      </c>
      <c r="N28">
        <f t="shared" si="0"/>
        <v>14</v>
      </c>
      <c r="O28">
        <v>51</v>
      </c>
      <c r="Q28" s="2" t="s">
        <v>100</v>
      </c>
      <c r="R28" t="s">
        <v>101</v>
      </c>
    </row>
    <row r="29" spans="1:18" ht="12.75" customHeight="1" x14ac:dyDescent="0.35">
      <c r="A29">
        <v>28</v>
      </c>
      <c r="B29" t="s">
        <v>163</v>
      </c>
      <c r="C29" t="s">
        <v>164</v>
      </c>
      <c r="D29" t="s">
        <v>165</v>
      </c>
      <c r="E29">
        <v>505172689</v>
      </c>
      <c r="F29" t="s">
        <v>67</v>
      </c>
      <c r="G29" t="s">
        <v>22</v>
      </c>
      <c r="H29" t="s">
        <v>23</v>
      </c>
      <c r="L29" s="3"/>
      <c r="M29" t="s">
        <v>86</v>
      </c>
      <c r="N29">
        <f t="shared" si="0"/>
        <v>12</v>
      </c>
      <c r="O29">
        <v>88</v>
      </c>
      <c r="Q29" s="2" t="s">
        <v>100</v>
      </c>
      <c r="R29" t="s">
        <v>101</v>
      </c>
    </row>
    <row r="30" spans="1:18" ht="12.75" customHeight="1" x14ac:dyDescent="0.35">
      <c r="A30">
        <v>29</v>
      </c>
      <c r="B30" t="s">
        <v>166</v>
      </c>
      <c r="C30" t="s">
        <v>167</v>
      </c>
      <c r="D30" t="s">
        <v>168</v>
      </c>
      <c r="E30">
        <v>597903754</v>
      </c>
      <c r="F30" t="s">
        <v>67</v>
      </c>
      <c r="G30" t="s">
        <v>22</v>
      </c>
      <c r="H30" t="s">
        <v>23</v>
      </c>
      <c r="L30" s="3"/>
      <c r="M30" t="s">
        <v>86</v>
      </c>
      <c r="N30">
        <f t="shared" si="0"/>
        <v>12</v>
      </c>
      <c r="O30">
        <v>86</v>
      </c>
      <c r="Q30" s="2" t="s">
        <v>100</v>
      </c>
      <c r="R30" t="s">
        <v>101</v>
      </c>
    </row>
    <row r="31" spans="1:18" ht="12.75" customHeight="1" x14ac:dyDescent="0.35">
      <c r="A31">
        <v>30</v>
      </c>
      <c r="B31" t="s">
        <v>169</v>
      </c>
      <c r="C31" t="s">
        <v>170</v>
      </c>
      <c r="D31" t="s">
        <v>171</v>
      </c>
      <c r="E31">
        <v>554727276</v>
      </c>
      <c r="F31" t="s">
        <v>67</v>
      </c>
      <c r="G31" t="s">
        <v>22</v>
      </c>
      <c r="H31" t="s">
        <v>23</v>
      </c>
      <c r="L31" s="3"/>
      <c r="M31" t="s">
        <v>86</v>
      </c>
      <c r="N31">
        <f t="shared" si="0"/>
        <v>12</v>
      </c>
      <c r="O31">
        <v>79</v>
      </c>
      <c r="P31" t="s">
        <v>172</v>
      </c>
      <c r="Q31" s="2" t="s">
        <v>28</v>
      </c>
    </row>
    <row r="32" spans="1:18" ht="12.75" customHeight="1" x14ac:dyDescent="0.35">
      <c r="A32">
        <v>31</v>
      </c>
      <c r="B32" t="s">
        <v>173</v>
      </c>
      <c r="C32" t="s">
        <v>174</v>
      </c>
      <c r="D32" t="s">
        <v>175</v>
      </c>
      <c r="E32">
        <v>506619165</v>
      </c>
      <c r="F32" t="s">
        <v>67</v>
      </c>
      <c r="G32" t="s">
        <v>22</v>
      </c>
      <c r="H32" t="s">
        <v>23</v>
      </c>
      <c r="L32" s="3"/>
      <c r="M32" t="s">
        <v>86</v>
      </c>
      <c r="N32">
        <f t="shared" si="0"/>
        <v>12</v>
      </c>
      <c r="O32">
        <v>77</v>
      </c>
      <c r="Q32" s="2" t="s">
        <v>28</v>
      </c>
    </row>
    <row r="33" spans="1:18" ht="12.75" customHeight="1" x14ac:dyDescent="0.35">
      <c r="A33">
        <v>32</v>
      </c>
      <c r="B33" t="s">
        <v>176</v>
      </c>
      <c r="C33" t="s">
        <v>177</v>
      </c>
      <c r="D33" t="s">
        <v>178</v>
      </c>
      <c r="E33">
        <v>568587728</v>
      </c>
      <c r="F33" t="s">
        <v>67</v>
      </c>
      <c r="G33" t="s">
        <v>22</v>
      </c>
      <c r="H33" t="s">
        <v>23</v>
      </c>
      <c r="I33" t="s">
        <v>179</v>
      </c>
      <c r="J33" t="s">
        <v>180</v>
      </c>
      <c r="L33" t="s">
        <v>181</v>
      </c>
      <c r="M33" t="s">
        <v>86</v>
      </c>
      <c r="N33">
        <f t="shared" si="0"/>
        <v>12</v>
      </c>
      <c r="O33">
        <v>80</v>
      </c>
      <c r="Q33" s="2" t="s">
        <v>100</v>
      </c>
      <c r="R33" t="s">
        <v>101</v>
      </c>
    </row>
    <row r="34" spans="1:18" ht="12.75" customHeight="1" x14ac:dyDescent="0.35">
      <c r="A34">
        <v>33</v>
      </c>
      <c r="B34" t="s">
        <v>182</v>
      </c>
      <c r="C34" t="s">
        <v>183</v>
      </c>
      <c r="D34" t="s">
        <v>184</v>
      </c>
      <c r="E34">
        <v>531302174</v>
      </c>
      <c r="F34" t="s">
        <v>67</v>
      </c>
      <c r="G34" t="s">
        <v>22</v>
      </c>
      <c r="H34" t="s">
        <v>23</v>
      </c>
      <c r="L34" s="3"/>
      <c r="M34" t="s">
        <v>86</v>
      </c>
      <c r="N34">
        <f>IF(OR(ISNUMBER(SEARCH("معار",I34&amp;" "&amp;K34&amp;" "&amp;Q34)),ISNUMBER(SEARCH("مجاز",I34&amp;" "&amp;K34&amp;" "&amp;Q34)),ISNUMBER(SEARCH("مبتعث",I34&amp;" "&amp;K34&amp;" "&amp;Q34))),0,IF(M34="الحد الأدنى",3,IF(M34="50%",ROUND(IF(H34="استاذ",10,IF(H34="استاذ مشارك",12,IF(H34="استاذ مساعد",14,16)))/2,0),IF(H34="استاذ",10,IF(H34="استاذ مشارك",12,IF(H34="استاذ مساعد",14,16))))))</f>
        <v>12</v>
      </c>
      <c r="O34">
        <v>73</v>
      </c>
      <c r="Q34" s="2" t="s">
        <v>100</v>
      </c>
      <c r="R34" t="s">
        <v>101</v>
      </c>
    </row>
    <row r="35" spans="1:18" ht="12.75" customHeight="1" x14ac:dyDescent="0.35">
      <c r="A35">
        <v>34</v>
      </c>
      <c r="B35" t="s">
        <v>185</v>
      </c>
      <c r="C35" t="s">
        <v>186</v>
      </c>
      <c r="D35" t="s">
        <v>187</v>
      </c>
      <c r="E35">
        <v>504408994</v>
      </c>
      <c r="F35" t="s">
        <v>67</v>
      </c>
      <c r="G35" t="s">
        <v>22</v>
      </c>
      <c r="H35" t="s">
        <v>40</v>
      </c>
      <c r="L35" s="3"/>
      <c r="M35" t="s">
        <v>86</v>
      </c>
      <c r="N35">
        <f>IF(OR(ISNUMBER(SEARCH("معار",I35&amp;" "&amp;K35&amp;" "&amp;Q35)),ISNUMBER(SEARCH("مجاز",I35&amp;" "&amp;K35&amp;" "&amp;Q35)),ISNUMBER(SEARCH("مبتعث",I35&amp;" "&amp;K35&amp;" "&amp;Q35))),0,IF(M35="الحد الأدنى",3,IF(M35="50%",ROUND(IF(H35="استاذ",10,IF(H35="استاذ مشارك",12,IF(H35="استاذ مساعد",14,16)))/2,0),IF(H35="استاذ",10,IF(H35="استاذ مشارك",12,IF(H35="استاذ مساعد",14,16))))))</f>
        <v>14</v>
      </c>
      <c r="O35">
        <v>71</v>
      </c>
      <c r="Q35" s="2" t="s">
        <v>28</v>
      </c>
    </row>
    <row r="36" spans="1:18" ht="12.75" customHeight="1" x14ac:dyDescent="0.35">
      <c r="A36">
        <v>35</v>
      </c>
      <c r="B36" t="s">
        <v>188</v>
      </c>
      <c r="C36" t="s">
        <v>189</v>
      </c>
      <c r="D36" t="s">
        <v>190</v>
      </c>
      <c r="E36">
        <v>555266436</v>
      </c>
      <c r="F36" t="s">
        <v>67</v>
      </c>
      <c r="G36" t="s">
        <v>22</v>
      </c>
      <c r="H36" t="s">
        <v>40</v>
      </c>
      <c r="L36" s="3"/>
      <c r="M36" t="s">
        <v>86</v>
      </c>
      <c r="N36">
        <f t="shared" ref="N36:N65" si="1">IF(OR(ISNUMBER(SEARCH("معار",I36&amp;" "&amp;K36&amp;" "&amp;Q36)),ISNUMBER(SEARCH("مجاز",I36&amp;" "&amp;K36&amp;" "&amp;Q36)),ISNUMBER(SEARCH("مبتعث",I36&amp;" "&amp;K36&amp;" "&amp;Q36))),0,IF(M36="الحد الأدنى",3,IF(M36="50%",ROUND(IF(H36="استاذ",10,IF(H36="استاذ مشارك",12,IF(H36="استاذ مساعد",14,16)))/2,0),IF(H36="استاذ",10,IF(H36="استاذ مشارك",12,IF(H36="استاذ مساعد",14,16))))))</f>
        <v>14</v>
      </c>
      <c r="O36">
        <v>88</v>
      </c>
      <c r="Q36" s="2" t="s">
        <v>100</v>
      </c>
      <c r="R36" t="s">
        <v>101</v>
      </c>
    </row>
    <row r="37" spans="1:18" ht="12.75" customHeight="1" x14ac:dyDescent="0.35">
      <c r="A37">
        <v>36</v>
      </c>
      <c r="B37" t="s">
        <v>191</v>
      </c>
      <c r="C37" t="s">
        <v>192</v>
      </c>
      <c r="D37" t="s">
        <v>193</v>
      </c>
      <c r="E37">
        <v>538130240</v>
      </c>
      <c r="F37" t="s">
        <v>67</v>
      </c>
      <c r="G37" t="s">
        <v>22</v>
      </c>
      <c r="H37" t="s">
        <v>40</v>
      </c>
      <c r="L37" s="3"/>
      <c r="M37" t="s">
        <v>86</v>
      </c>
      <c r="N37">
        <f t="shared" si="1"/>
        <v>14</v>
      </c>
      <c r="O37">
        <v>80</v>
      </c>
      <c r="P37" t="s">
        <v>194</v>
      </c>
      <c r="Q37" s="2" t="s">
        <v>100</v>
      </c>
      <c r="R37" t="s">
        <v>101</v>
      </c>
    </row>
    <row r="38" spans="1:18" ht="12.75" customHeight="1" x14ac:dyDescent="0.35">
      <c r="A38">
        <v>37</v>
      </c>
      <c r="B38" t="s">
        <v>195</v>
      </c>
      <c r="C38" t="s">
        <v>196</v>
      </c>
      <c r="D38" t="s">
        <v>197</v>
      </c>
      <c r="E38">
        <v>500606666</v>
      </c>
      <c r="F38" t="s">
        <v>67</v>
      </c>
      <c r="G38" t="s">
        <v>22</v>
      </c>
      <c r="H38" t="s">
        <v>40</v>
      </c>
      <c r="L38" s="3"/>
      <c r="M38" t="s">
        <v>86</v>
      </c>
      <c r="N38">
        <f t="shared" si="1"/>
        <v>14</v>
      </c>
      <c r="P38" t="s">
        <v>198</v>
      </c>
      <c r="Q38" s="2" t="s">
        <v>28</v>
      </c>
    </row>
    <row r="39" spans="1:18" ht="12.75" customHeight="1" x14ac:dyDescent="0.35">
      <c r="A39">
        <v>38</v>
      </c>
      <c r="B39" t="s">
        <v>199</v>
      </c>
      <c r="C39" t="s">
        <v>200</v>
      </c>
      <c r="D39" t="s">
        <v>201</v>
      </c>
      <c r="E39">
        <v>547046681</v>
      </c>
      <c r="F39" t="s">
        <v>67</v>
      </c>
      <c r="G39" t="s">
        <v>22</v>
      </c>
      <c r="H39" t="s">
        <v>40</v>
      </c>
      <c r="L39" s="3"/>
      <c r="M39" t="s">
        <v>86</v>
      </c>
      <c r="N39">
        <f t="shared" si="1"/>
        <v>14</v>
      </c>
      <c r="O39">
        <v>64</v>
      </c>
      <c r="Q39" s="2" t="s">
        <v>100</v>
      </c>
      <c r="R39" t="s">
        <v>101</v>
      </c>
    </row>
    <row r="40" spans="1:18" ht="12.75" customHeight="1" x14ac:dyDescent="0.35">
      <c r="A40">
        <v>39</v>
      </c>
      <c r="B40" t="s">
        <v>202</v>
      </c>
      <c r="C40" t="s">
        <v>203</v>
      </c>
      <c r="D40" t="s">
        <v>204</v>
      </c>
      <c r="E40">
        <v>553702360</v>
      </c>
      <c r="F40" t="s">
        <v>67</v>
      </c>
      <c r="G40" t="s">
        <v>22</v>
      </c>
      <c r="H40" t="s">
        <v>40</v>
      </c>
      <c r="L40" s="3"/>
      <c r="M40" t="s">
        <v>86</v>
      </c>
      <c r="N40">
        <f t="shared" si="1"/>
        <v>14</v>
      </c>
      <c r="O40">
        <v>62</v>
      </c>
      <c r="Q40" s="2" t="s">
        <v>100</v>
      </c>
      <c r="R40" t="s">
        <v>101</v>
      </c>
    </row>
    <row r="41" spans="1:18" ht="12.75" customHeight="1" x14ac:dyDescent="0.35">
      <c r="A41">
        <v>40</v>
      </c>
      <c r="B41" t="s">
        <v>205</v>
      </c>
      <c r="C41" t="s">
        <v>206</v>
      </c>
      <c r="D41" t="s">
        <v>207</v>
      </c>
      <c r="E41">
        <v>565960474</v>
      </c>
      <c r="F41" t="s">
        <v>67</v>
      </c>
      <c r="G41" t="s">
        <v>22</v>
      </c>
      <c r="H41" t="s">
        <v>40</v>
      </c>
      <c r="L41" s="3"/>
      <c r="M41" t="s">
        <v>86</v>
      </c>
      <c r="N41">
        <f t="shared" si="1"/>
        <v>14</v>
      </c>
      <c r="O41">
        <v>80</v>
      </c>
      <c r="P41" t="s">
        <v>194</v>
      </c>
      <c r="Q41" s="2" t="s">
        <v>100</v>
      </c>
      <c r="R41" t="s">
        <v>101</v>
      </c>
    </row>
    <row r="42" spans="1:18" ht="12.75" customHeight="1" x14ac:dyDescent="0.35">
      <c r="A42">
        <v>41</v>
      </c>
      <c r="B42" t="s">
        <v>208</v>
      </c>
      <c r="C42" t="s">
        <v>209</v>
      </c>
      <c r="D42" t="s">
        <v>210</v>
      </c>
      <c r="E42">
        <v>550740600</v>
      </c>
      <c r="F42" t="s">
        <v>67</v>
      </c>
      <c r="G42" t="s">
        <v>22</v>
      </c>
      <c r="H42" t="s">
        <v>40</v>
      </c>
      <c r="L42" s="3"/>
      <c r="M42" t="s">
        <v>86</v>
      </c>
      <c r="N42">
        <f t="shared" si="1"/>
        <v>14</v>
      </c>
      <c r="O42">
        <v>85</v>
      </c>
      <c r="Q42" s="2" t="s">
        <v>100</v>
      </c>
      <c r="R42" t="s">
        <v>101</v>
      </c>
    </row>
    <row r="43" spans="1:18" ht="12.75" customHeight="1" x14ac:dyDescent="0.35">
      <c r="A43">
        <v>42</v>
      </c>
      <c r="B43" t="s">
        <v>211</v>
      </c>
      <c r="C43" t="s">
        <v>212</v>
      </c>
      <c r="D43" t="s">
        <v>213</v>
      </c>
      <c r="E43">
        <v>506552157</v>
      </c>
      <c r="F43" t="s">
        <v>67</v>
      </c>
      <c r="G43" t="s">
        <v>22</v>
      </c>
      <c r="H43" t="s">
        <v>90</v>
      </c>
      <c r="L43" s="3"/>
      <c r="M43" t="s">
        <v>86</v>
      </c>
      <c r="N43">
        <f t="shared" si="1"/>
        <v>16</v>
      </c>
      <c r="P43" t="s">
        <v>198</v>
      </c>
      <c r="Q43" s="2" t="s">
        <v>28</v>
      </c>
    </row>
    <row r="44" spans="1:18" ht="12.75" customHeight="1" x14ac:dyDescent="0.35">
      <c r="A44">
        <v>43</v>
      </c>
      <c r="B44" t="s">
        <v>214</v>
      </c>
      <c r="C44" t="s">
        <v>215</v>
      </c>
      <c r="D44" t="s">
        <v>216</v>
      </c>
      <c r="E44">
        <v>555563454</v>
      </c>
      <c r="F44" t="s">
        <v>67</v>
      </c>
      <c r="G44" t="s">
        <v>22</v>
      </c>
      <c r="H44" t="s">
        <v>90</v>
      </c>
      <c r="L44" s="3"/>
      <c r="M44" t="s">
        <v>86</v>
      </c>
      <c r="N44">
        <f t="shared" si="1"/>
        <v>16</v>
      </c>
      <c r="P44" t="s">
        <v>198</v>
      </c>
      <c r="Q44" s="2" t="s">
        <v>28</v>
      </c>
    </row>
    <row r="45" spans="1:18" ht="12.75" customHeight="1" x14ac:dyDescent="0.35">
      <c r="A45">
        <v>44</v>
      </c>
      <c r="B45" t="s">
        <v>217</v>
      </c>
      <c r="C45" t="s">
        <v>218</v>
      </c>
      <c r="D45" t="s">
        <v>219</v>
      </c>
      <c r="E45">
        <v>544437372</v>
      </c>
      <c r="F45" t="s">
        <v>67</v>
      </c>
      <c r="G45" t="s">
        <v>22</v>
      </c>
      <c r="H45" t="s">
        <v>90</v>
      </c>
      <c r="L45" s="3"/>
      <c r="M45" t="s">
        <v>86</v>
      </c>
      <c r="N45">
        <f t="shared" si="1"/>
        <v>16</v>
      </c>
      <c r="O45">
        <v>87</v>
      </c>
      <c r="Q45" s="2" t="s">
        <v>28</v>
      </c>
    </row>
    <row r="46" spans="1:18" ht="12.75" customHeight="1" x14ac:dyDescent="0.35">
      <c r="A46">
        <v>45</v>
      </c>
      <c r="B46" t="s">
        <v>220</v>
      </c>
      <c r="C46" t="s">
        <v>221</v>
      </c>
      <c r="D46" t="s">
        <v>222</v>
      </c>
      <c r="E46">
        <v>569536447</v>
      </c>
      <c r="F46" t="s">
        <v>67</v>
      </c>
      <c r="G46" t="s">
        <v>22</v>
      </c>
      <c r="H46" t="s">
        <v>223</v>
      </c>
      <c r="L46" s="3"/>
      <c r="M46" t="s">
        <v>86</v>
      </c>
      <c r="N46">
        <f t="shared" si="1"/>
        <v>16</v>
      </c>
      <c r="O46">
        <v>79</v>
      </c>
      <c r="Q46" s="2" t="s">
        <v>28</v>
      </c>
    </row>
    <row r="47" spans="1:18" ht="12.75" customHeight="1" x14ac:dyDescent="0.35">
      <c r="A47">
        <v>46</v>
      </c>
      <c r="B47" t="s">
        <v>224</v>
      </c>
      <c r="C47" t="s">
        <v>225</v>
      </c>
      <c r="D47" t="s">
        <v>226</v>
      </c>
      <c r="E47">
        <v>555500537</v>
      </c>
      <c r="F47" t="s">
        <v>21</v>
      </c>
      <c r="G47" t="s">
        <v>22</v>
      </c>
      <c r="H47" t="s">
        <v>227</v>
      </c>
      <c r="L47" s="3"/>
      <c r="M47" t="s">
        <v>86</v>
      </c>
      <c r="N47">
        <f t="shared" si="1"/>
        <v>10</v>
      </c>
      <c r="O47">
        <v>6</v>
      </c>
      <c r="Q47" s="2" t="s">
        <v>28</v>
      </c>
    </row>
    <row r="48" spans="1:18" ht="12.75" customHeight="1" x14ac:dyDescent="0.35">
      <c r="A48">
        <v>47</v>
      </c>
      <c r="B48" t="s">
        <v>228</v>
      </c>
      <c r="C48" t="s">
        <v>229</v>
      </c>
      <c r="D48" t="s">
        <v>230</v>
      </c>
      <c r="E48">
        <v>506422335</v>
      </c>
      <c r="F48" t="s">
        <v>21</v>
      </c>
      <c r="G48" t="s">
        <v>22</v>
      </c>
      <c r="H48" t="s">
        <v>23</v>
      </c>
      <c r="L48" s="3"/>
      <c r="M48" t="s">
        <v>86</v>
      </c>
      <c r="N48">
        <f t="shared" si="1"/>
        <v>12</v>
      </c>
      <c r="O48">
        <v>6</v>
      </c>
      <c r="Q48" s="2" t="s">
        <v>28</v>
      </c>
    </row>
    <row r="49" spans="1:18" ht="12.75" customHeight="1" x14ac:dyDescent="0.35">
      <c r="A49">
        <v>48</v>
      </c>
      <c r="B49" t="s">
        <v>231</v>
      </c>
      <c r="C49" t="s">
        <v>232</v>
      </c>
      <c r="D49" t="s">
        <v>233</v>
      </c>
      <c r="E49">
        <v>580367820</v>
      </c>
      <c r="F49" t="s">
        <v>21</v>
      </c>
      <c r="G49" t="s">
        <v>22</v>
      </c>
      <c r="H49" t="s">
        <v>23</v>
      </c>
      <c r="L49" s="3"/>
      <c r="M49" t="s">
        <v>86</v>
      </c>
      <c r="N49">
        <f t="shared" si="1"/>
        <v>12</v>
      </c>
      <c r="O49">
        <v>16</v>
      </c>
      <c r="Q49" s="2" t="s">
        <v>28</v>
      </c>
    </row>
    <row r="50" spans="1:18" ht="12.75" customHeight="1" x14ac:dyDescent="0.35">
      <c r="A50">
        <v>49</v>
      </c>
      <c r="B50" t="s">
        <v>234</v>
      </c>
      <c r="C50" t="s">
        <v>235</v>
      </c>
      <c r="D50" t="s">
        <v>236</v>
      </c>
      <c r="E50">
        <v>506490786</v>
      </c>
      <c r="F50" t="s">
        <v>21</v>
      </c>
      <c r="G50" t="s">
        <v>22</v>
      </c>
      <c r="H50" t="s">
        <v>23</v>
      </c>
      <c r="L50" s="3"/>
      <c r="M50" t="s">
        <v>86</v>
      </c>
      <c r="N50">
        <f t="shared" si="1"/>
        <v>12</v>
      </c>
      <c r="O50">
        <v>29</v>
      </c>
      <c r="P50" t="s">
        <v>237</v>
      </c>
      <c r="Q50" s="2" t="s">
        <v>28</v>
      </c>
    </row>
    <row r="51" spans="1:18" ht="12.75" customHeight="1" x14ac:dyDescent="0.35">
      <c r="A51">
        <v>50</v>
      </c>
      <c r="B51" t="s">
        <v>238</v>
      </c>
      <c r="C51" t="s">
        <v>239</v>
      </c>
      <c r="D51" t="s">
        <v>240</v>
      </c>
      <c r="E51">
        <v>556682030</v>
      </c>
      <c r="F51" t="s">
        <v>21</v>
      </c>
      <c r="G51" t="s">
        <v>22</v>
      </c>
      <c r="H51" t="s">
        <v>23</v>
      </c>
      <c r="L51" s="3"/>
      <c r="M51" t="s">
        <v>86</v>
      </c>
      <c r="N51">
        <f t="shared" si="1"/>
        <v>12</v>
      </c>
      <c r="O51">
        <v>14</v>
      </c>
      <c r="Q51" s="2" t="s">
        <v>28</v>
      </c>
    </row>
    <row r="52" spans="1:18" ht="12.75" customHeight="1" x14ac:dyDescent="0.35">
      <c r="A52">
        <v>51</v>
      </c>
      <c r="B52" t="s">
        <v>241</v>
      </c>
      <c r="C52" t="s">
        <v>242</v>
      </c>
      <c r="D52" t="s">
        <v>243</v>
      </c>
      <c r="E52">
        <v>556479426</v>
      </c>
      <c r="F52" t="s">
        <v>21</v>
      </c>
      <c r="G52" t="s">
        <v>22</v>
      </c>
      <c r="H52" t="s">
        <v>23</v>
      </c>
      <c r="L52" s="3"/>
      <c r="M52" t="s">
        <v>86</v>
      </c>
      <c r="N52">
        <f t="shared" si="1"/>
        <v>12</v>
      </c>
      <c r="O52">
        <v>4</v>
      </c>
      <c r="P52" t="s">
        <v>194</v>
      </c>
      <c r="Q52" s="2" t="s">
        <v>28</v>
      </c>
    </row>
    <row r="53" spans="1:18" ht="12.75" customHeight="1" x14ac:dyDescent="0.35">
      <c r="A53">
        <v>52</v>
      </c>
      <c r="B53" t="s">
        <v>244</v>
      </c>
      <c r="C53" t="s">
        <v>245</v>
      </c>
      <c r="D53" t="s">
        <v>246</v>
      </c>
      <c r="E53">
        <v>557574102</v>
      </c>
      <c r="F53" t="s">
        <v>21</v>
      </c>
      <c r="G53" t="s">
        <v>22</v>
      </c>
      <c r="H53" t="s">
        <v>23</v>
      </c>
      <c r="L53" s="3"/>
      <c r="M53" t="s">
        <v>86</v>
      </c>
      <c r="N53">
        <f t="shared" si="1"/>
        <v>12</v>
      </c>
      <c r="O53">
        <v>15</v>
      </c>
      <c r="Q53" s="2" t="s">
        <v>100</v>
      </c>
      <c r="R53" t="s">
        <v>101</v>
      </c>
    </row>
    <row r="54" spans="1:18" ht="12.75" customHeight="1" x14ac:dyDescent="0.35">
      <c r="A54">
        <v>53</v>
      </c>
      <c r="B54" t="s">
        <v>247</v>
      </c>
      <c r="C54" t="s">
        <v>248</v>
      </c>
      <c r="D54" t="s">
        <v>249</v>
      </c>
      <c r="E54">
        <v>555490738</v>
      </c>
      <c r="F54" t="s">
        <v>21</v>
      </c>
      <c r="G54" t="s">
        <v>22</v>
      </c>
      <c r="H54" t="s">
        <v>23</v>
      </c>
      <c r="L54" s="3"/>
      <c r="M54" t="s">
        <v>86</v>
      </c>
      <c r="N54">
        <f t="shared" si="1"/>
        <v>12</v>
      </c>
      <c r="O54">
        <v>4</v>
      </c>
      <c r="P54" t="s">
        <v>194</v>
      </c>
      <c r="Q54" s="2" t="s">
        <v>100</v>
      </c>
      <c r="R54" t="s">
        <v>101</v>
      </c>
    </row>
    <row r="55" spans="1:18" ht="12.75" customHeight="1" x14ac:dyDescent="0.35">
      <c r="A55">
        <v>54</v>
      </c>
      <c r="B55" t="s">
        <v>250</v>
      </c>
      <c r="C55" t="s">
        <v>251</v>
      </c>
      <c r="D55" t="s">
        <v>252</v>
      </c>
      <c r="E55">
        <v>553415387</v>
      </c>
      <c r="F55" t="s">
        <v>21</v>
      </c>
      <c r="G55" t="s">
        <v>22</v>
      </c>
      <c r="H55" t="s">
        <v>23</v>
      </c>
      <c r="I55" t="s">
        <v>179</v>
      </c>
      <c r="J55" t="s">
        <v>253</v>
      </c>
      <c r="L55" t="s">
        <v>181</v>
      </c>
      <c r="M55" t="s">
        <v>86</v>
      </c>
      <c r="N55">
        <f t="shared" si="1"/>
        <v>12</v>
      </c>
      <c r="O55">
        <v>13</v>
      </c>
      <c r="P55" t="s">
        <v>194</v>
      </c>
      <c r="Q55" s="2" t="s">
        <v>100</v>
      </c>
      <c r="R55" t="s">
        <v>101</v>
      </c>
    </row>
    <row r="56" spans="1:18" ht="12.75" customHeight="1" x14ac:dyDescent="0.35">
      <c r="A56">
        <v>55</v>
      </c>
      <c r="B56" t="s">
        <v>254</v>
      </c>
      <c r="C56" t="s">
        <v>255</v>
      </c>
      <c r="D56" t="s">
        <v>256</v>
      </c>
      <c r="E56">
        <v>554641515</v>
      </c>
      <c r="F56" t="s">
        <v>21</v>
      </c>
      <c r="G56" t="s">
        <v>22</v>
      </c>
      <c r="H56" t="s">
        <v>40</v>
      </c>
      <c r="I56" t="s">
        <v>147</v>
      </c>
      <c r="J56" t="s">
        <v>257</v>
      </c>
      <c r="L56" t="s">
        <v>181</v>
      </c>
      <c r="M56" t="s">
        <v>149</v>
      </c>
      <c r="N56">
        <f t="shared" si="1"/>
        <v>7</v>
      </c>
      <c r="O56">
        <v>5</v>
      </c>
      <c r="Q56" s="2" t="s">
        <v>28</v>
      </c>
    </row>
    <row r="57" spans="1:18" ht="12.75" customHeight="1" x14ac:dyDescent="0.35">
      <c r="A57">
        <v>56</v>
      </c>
      <c r="B57" t="s">
        <v>258</v>
      </c>
      <c r="C57" t="s">
        <v>259</v>
      </c>
      <c r="D57" t="s">
        <v>260</v>
      </c>
      <c r="E57">
        <v>562014527</v>
      </c>
      <c r="F57" t="s">
        <v>21</v>
      </c>
      <c r="G57" t="s">
        <v>22</v>
      </c>
      <c r="H57" t="s">
        <v>40</v>
      </c>
      <c r="L57" s="3"/>
      <c r="M57" t="s">
        <v>86</v>
      </c>
      <c r="N57">
        <f t="shared" si="1"/>
        <v>14</v>
      </c>
      <c r="O57">
        <v>13</v>
      </c>
      <c r="P57" t="s">
        <v>194</v>
      </c>
      <c r="Q57" s="2" t="s">
        <v>100</v>
      </c>
      <c r="R57" t="s">
        <v>101</v>
      </c>
    </row>
    <row r="58" spans="1:18" ht="12.75" customHeight="1" x14ac:dyDescent="0.35">
      <c r="A58">
        <v>57</v>
      </c>
      <c r="B58" t="s">
        <v>261</v>
      </c>
      <c r="C58" t="s">
        <v>262</v>
      </c>
      <c r="D58" t="s">
        <v>263</v>
      </c>
      <c r="E58">
        <v>557192825</v>
      </c>
      <c r="F58" t="s">
        <v>21</v>
      </c>
      <c r="G58" t="s">
        <v>22</v>
      </c>
      <c r="H58" t="s">
        <v>40</v>
      </c>
      <c r="L58" s="3"/>
      <c r="M58" t="s">
        <v>86</v>
      </c>
      <c r="N58">
        <f t="shared" si="1"/>
        <v>14</v>
      </c>
      <c r="P58" t="s">
        <v>198</v>
      </c>
      <c r="Q58" s="2" t="s">
        <v>100</v>
      </c>
      <c r="R58" t="s">
        <v>101</v>
      </c>
    </row>
    <row r="59" spans="1:18" ht="12.75" customHeight="1" x14ac:dyDescent="0.35">
      <c r="A59">
        <v>58</v>
      </c>
      <c r="B59" t="s">
        <v>264</v>
      </c>
      <c r="C59" t="s">
        <v>265</v>
      </c>
      <c r="D59" t="s">
        <v>266</v>
      </c>
      <c r="E59">
        <v>549227347</v>
      </c>
      <c r="F59" t="s">
        <v>21</v>
      </c>
      <c r="G59" t="s">
        <v>22</v>
      </c>
      <c r="H59" t="s">
        <v>223</v>
      </c>
      <c r="L59" s="3"/>
      <c r="M59" t="s">
        <v>86</v>
      </c>
      <c r="N59">
        <f t="shared" si="1"/>
        <v>16</v>
      </c>
      <c r="P59" t="s">
        <v>198</v>
      </c>
      <c r="Q59" s="2" t="s">
        <v>28</v>
      </c>
    </row>
    <row r="60" spans="1:18" ht="12.75" customHeight="1" x14ac:dyDescent="0.35">
      <c r="A60">
        <v>59</v>
      </c>
      <c r="B60" t="s">
        <v>267</v>
      </c>
      <c r="C60" t="s">
        <v>268</v>
      </c>
      <c r="D60" t="s">
        <v>269</v>
      </c>
      <c r="E60">
        <v>559099279</v>
      </c>
      <c r="F60" t="s">
        <v>39</v>
      </c>
      <c r="G60" t="s">
        <v>22</v>
      </c>
      <c r="H60" t="s">
        <v>227</v>
      </c>
      <c r="L60" s="3"/>
      <c r="M60" t="s">
        <v>86</v>
      </c>
      <c r="N60">
        <f t="shared" si="1"/>
        <v>10</v>
      </c>
      <c r="O60">
        <v>127</v>
      </c>
      <c r="Q60" s="2" t="s">
        <v>28</v>
      </c>
    </row>
    <row r="61" spans="1:18" ht="12.75" customHeight="1" x14ac:dyDescent="0.35">
      <c r="A61">
        <v>60</v>
      </c>
      <c r="B61" t="s">
        <v>270</v>
      </c>
      <c r="C61" t="s">
        <v>271</v>
      </c>
      <c r="D61" t="s">
        <v>272</v>
      </c>
      <c r="E61">
        <v>503671213</v>
      </c>
      <c r="F61" t="s">
        <v>39</v>
      </c>
      <c r="G61" t="s">
        <v>22</v>
      </c>
      <c r="H61" t="s">
        <v>23</v>
      </c>
      <c r="L61" s="3"/>
      <c r="M61" t="s">
        <v>86</v>
      </c>
      <c r="N61">
        <f t="shared" si="1"/>
        <v>12</v>
      </c>
      <c r="O61">
        <v>125</v>
      </c>
      <c r="Q61" s="2" t="s">
        <v>28</v>
      </c>
    </row>
    <row r="62" spans="1:18" ht="12.75" customHeight="1" x14ac:dyDescent="0.35">
      <c r="A62">
        <v>61</v>
      </c>
      <c r="B62" t="s">
        <v>273</v>
      </c>
      <c r="C62" t="s">
        <v>274</v>
      </c>
      <c r="D62" t="s">
        <v>275</v>
      </c>
      <c r="E62">
        <v>557034042</v>
      </c>
      <c r="F62" t="s">
        <v>39</v>
      </c>
      <c r="G62" t="s">
        <v>22</v>
      </c>
      <c r="H62" t="s">
        <v>40</v>
      </c>
      <c r="L62" s="3"/>
      <c r="M62" t="s">
        <v>86</v>
      </c>
      <c r="N62">
        <f t="shared" si="1"/>
        <v>14</v>
      </c>
      <c r="O62">
        <v>117</v>
      </c>
      <c r="Q62" s="2" t="s">
        <v>28</v>
      </c>
    </row>
    <row r="63" spans="1:18" ht="12.75" customHeight="1" x14ac:dyDescent="0.35">
      <c r="A63">
        <v>62</v>
      </c>
      <c r="B63" t="s">
        <v>276</v>
      </c>
      <c r="C63" t="s">
        <v>277</v>
      </c>
      <c r="D63" t="s">
        <v>278</v>
      </c>
      <c r="E63">
        <v>557038025</v>
      </c>
      <c r="F63" t="s">
        <v>39</v>
      </c>
      <c r="G63" t="s">
        <v>22</v>
      </c>
      <c r="H63" t="s">
        <v>40</v>
      </c>
      <c r="L63" s="3"/>
      <c r="M63" t="s">
        <v>86</v>
      </c>
      <c r="N63">
        <f t="shared" si="1"/>
        <v>14</v>
      </c>
      <c r="O63">
        <v>128</v>
      </c>
      <c r="P63" t="s">
        <v>194</v>
      </c>
      <c r="Q63" s="2" t="s">
        <v>100</v>
      </c>
      <c r="R63" t="s">
        <v>101</v>
      </c>
    </row>
    <row r="64" spans="1:18" ht="12.75" customHeight="1" x14ac:dyDescent="0.35">
      <c r="A64">
        <v>63</v>
      </c>
      <c r="B64" t="s">
        <v>279</v>
      </c>
      <c r="C64" t="s">
        <v>280</v>
      </c>
      <c r="D64" t="s">
        <v>281</v>
      </c>
      <c r="E64">
        <v>565056999</v>
      </c>
      <c r="F64" t="s">
        <v>39</v>
      </c>
      <c r="G64" t="s">
        <v>22</v>
      </c>
      <c r="H64" t="s">
        <v>90</v>
      </c>
      <c r="L64" s="3"/>
      <c r="M64" t="s">
        <v>86</v>
      </c>
      <c r="N64">
        <f t="shared" si="1"/>
        <v>16</v>
      </c>
      <c r="O64">
        <v>128</v>
      </c>
      <c r="P64" t="s">
        <v>194</v>
      </c>
      <c r="Q64" s="2" t="s">
        <v>28</v>
      </c>
    </row>
    <row r="65" spans="1:18" ht="12.75" customHeight="1" x14ac:dyDescent="0.35">
      <c r="A65">
        <v>64</v>
      </c>
      <c r="B65" t="s">
        <v>282</v>
      </c>
      <c r="C65" t="s">
        <v>283</v>
      </c>
      <c r="D65" t="s">
        <v>284</v>
      </c>
      <c r="E65">
        <v>590155512</v>
      </c>
      <c r="F65" t="s">
        <v>39</v>
      </c>
      <c r="G65" t="s">
        <v>22</v>
      </c>
      <c r="H65" t="s">
        <v>90</v>
      </c>
      <c r="L65" s="3"/>
      <c r="M65" t="s">
        <v>86</v>
      </c>
      <c r="N65">
        <f t="shared" si="1"/>
        <v>16</v>
      </c>
      <c r="O65">
        <v>119</v>
      </c>
      <c r="Q65" s="2" t="s">
        <v>28</v>
      </c>
    </row>
    <row r="66" spans="1:18" ht="12.75" customHeight="1" x14ac:dyDescent="0.35">
      <c r="A66">
        <v>65</v>
      </c>
      <c r="B66" t="s">
        <v>285</v>
      </c>
      <c r="C66" t="s">
        <v>286</v>
      </c>
      <c r="D66" t="s">
        <v>287</v>
      </c>
      <c r="E66">
        <v>555591726</v>
      </c>
      <c r="F66" t="s">
        <v>39</v>
      </c>
      <c r="G66" t="s">
        <v>22</v>
      </c>
      <c r="H66" t="s">
        <v>223</v>
      </c>
      <c r="L66" s="3"/>
      <c r="M66" t="s">
        <v>86</v>
      </c>
      <c r="N66">
        <f>IF(OR(ISNUMBER(SEARCH("معار",I66&amp;" "&amp;K66&amp;" "&amp;Q66)),ISNUMBER(SEARCH("مجاز",I66&amp;" "&amp;K66&amp;" "&amp;Q66)),ISNUMBER(SEARCH("مبتعث",I66&amp;" "&amp;K66&amp;" "&amp;Q66))),0,IF(M66="الحد الأدنى",3,IF(M66="50%",ROUND(IF(H66="استاذ",10,IF(H66="استاذ مشارك",12,IF(H66="استاذ مساعد",14,16)))/2,0),IF(H66="استاذ",10,IF(H66="استاذ مشارك",12,IF(H66="استاذ مساعد",14,16))))))</f>
        <v>16</v>
      </c>
      <c r="P66" t="s">
        <v>198</v>
      </c>
      <c r="Q66" s="2" t="s">
        <v>28</v>
      </c>
    </row>
    <row r="67" spans="1:18" ht="12.75" customHeight="1" x14ac:dyDescent="0.35">
      <c r="A67">
        <v>66</v>
      </c>
      <c r="B67" t="s">
        <v>288</v>
      </c>
      <c r="C67" t="s">
        <v>289</v>
      </c>
      <c r="D67" t="s">
        <v>290</v>
      </c>
      <c r="E67">
        <v>533112118</v>
      </c>
      <c r="F67" t="s">
        <v>32</v>
      </c>
      <c r="G67" t="s">
        <v>22</v>
      </c>
      <c r="H67" t="s">
        <v>227</v>
      </c>
      <c r="L67" s="3"/>
      <c r="M67" t="s">
        <v>86</v>
      </c>
      <c r="N67">
        <f>IF(OR(ISNUMBER(SEARCH("معار",I67&amp;" "&amp;K67&amp;" "&amp;Q67)),ISNUMBER(SEARCH("مجاز",I67&amp;" "&amp;K67&amp;" "&amp;Q67)),ISNUMBER(SEARCH("مبتعث",I67&amp;" "&amp;K67&amp;" "&amp;Q67))),0,IF(M67="الحد الأدنى",3,IF(M67="50%",ROUND(IF(H67="استاذ",10,IF(H67="استاذ مشارك",12,IF(H67="استاذ مساعد",14,16)))/2,0),IF(H67="استاذ",10,IF(H67="استاذ مشارك",12,IF(H67="استاذ مساعد",14,16))))))</f>
        <v>10</v>
      </c>
      <c r="O67">
        <v>103</v>
      </c>
      <c r="Q67" s="2" t="s">
        <v>100</v>
      </c>
      <c r="R67" t="s">
        <v>101</v>
      </c>
    </row>
    <row r="68" spans="1:18" ht="12.75" customHeight="1" x14ac:dyDescent="0.35">
      <c r="A68">
        <v>67</v>
      </c>
      <c r="B68" t="s">
        <v>291</v>
      </c>
      <c r="C68" t="s">
        <v>292</v>
      </c>
      <c r="D68" t="s">
        <v>293</v>
      </c>
      <c r="E68">
        <v>542589581</v>
      </c>
      <c r="F68" t="s">
        <v>32</v>
      </c>
      <c r="G68" t="s">
        <v>22</v>
      </c>
      <c r="H68" t="s">
        <v>23</v>
      </c>
      <c r="I68" t="s">
        <v>179</v>
      </c>
      <c r="J68" t="s">
        <v>294</v>
      </c>
      <c r="L68" t="s">
        <v>181</v>
      </c>
      <c r="M68" t="s">
        <v>86</v>
      </c>
      <c r="N68">
        <f t="shared" ref="N68:N98" si="2">IF(OR(ISNUMBER(SEARCH("معار",I68&amp;" "&amp;K68&amp;" "&amp;Q68)),ISNUMBER(SEARCH("مجاز",I68&amp;" "&amp;K68&amp;" "&amp;Q68)),ISNUMBER(SEARCH("مبتعث",I68&amp;" "&amp;K68&amp;" "&amp;Q68))),0,IF(M68="الحد الأدنى",3,IF(M68="50%",ROUND(IF(H68="استاذ",10,IF(H68="استاذ مشارك",12,IF(H68="استاذ مساعد",14,16)))/2,0),IF(H68="استاذ",10,IF(H68="استاذ مشارك",12,IF(H68="استاذ مساعد",14,16))))))</f>
        <v>12</v>
      </c>
      <c r="P68" t="s">
        <v>198</v>
      </c>
      <c r="Q68" s="2" t="s">
        <v>100</v>
      </c>
      <c r="R68" t="s">
        <v>101</v>
      </c>
    </row>
    <row r="69" spans="1:18" ht="12.75" customHeight="1" x14ac:dyDescent="0.35">
      <c r="A69">
        <v>68</v>
      </c>
      <c r="B69" t="s">
        <v>295</v>
      </c>
      <c r="C69" t="s">
        <v>296</v>
      </c>
      <c r="D69" t="s">
        <v>297</v>
      </c>
      <c r="E69">
        <v>570118397</v>
      </c>
      <c r="F69" t="s">
        <v>32</v>
      </c>
      <c r="G69" t="s">
        <v>22</v>
      </c>
      <c r="H69" t="s">
        <v>23</v>
      </c>
      <c r="L69" s="3"/>
      <c r="M69" t="s">
        <v>86</v>
      </c>
      <c r="N69">
        <f t="shared" si="2"/>
        <v>12</v>
      </c>
      <c r="O69">
        <v>112</v>
      </c>
      <c r="Q69" s="2" t="s">
        <v>100</v>
      </c>
      <c r="R69" t="s">
        <v>101</v>
      </c>
    </row>
    <row r="70" spans="1:18" ht="12.75" customHeight="1" x14ac:dyDescent="0.35">
      <c r="A70">
        <v>69</v>
      </c>
      <c r="B70" t="s">
        <v>298</v>
      </c>
      <c r="C70" t="s">
        <v>299</v>
      </c>
      <c r="D70" t="s">
        <v>300</v>
      </c>
      <c r="E70">
        <v>569171591</v>
      </c>
      <c r="F70" t="s">
        <v>32</v>
      </c>
      <c r="G70" t="s">
        <v>22</v>
      </c>
      <c r="H70" t="s">
        <v>40</v>
      </c>
      <c r="L70" s="3"/>
      <c r="M70" t="s">
        <v>86</v>
      </c>
      <c r="N70">
        <f t="shared" si="2"/>
        <v>14</v>
      </c>
      <c r="P70" t="s">
        <v>198</v>
      </c>
      <c r="Q70" s="2" t="s">
        <v>28</v>
      </c>
    </row>
    <row r="71" spans="1:18" ht="12.75" customHeight="1" x14ac:dyDescent="0.35">
      <c r="A71">
        <v>70</v>
      </c>
      <c r="B71" t="s">
        <v>301</v>
      </c>
      <c r="C71" t="s">
        <v>302</v>
      </c>
      <c r="D71" t="s">
        <v>303</v>
      </c>
      <c r="E71">
        <v>592718081</v>
      </c>
      <c r="F71" t="s">
        <v>32</v>
      </c>
      <c r="G71" t="s">
        <v>22</v>
      </c>
      <c r="H71" t="s">
        <v>40</v>
      </c>
      <c r="L71" s="3"/>
      <c r="M71" t="s">
        <v>86</v>
      </c>
      <c r="N71">
        <f t="shared" si="2"/>
        <v>14</v>
      </c>
      <c r="O71">
        <v>104</v>
      </c>
      <c r="Q71" s="2" t="s">
        <v>100</v>
      </c>
      <c r="R71" t="s">
        <v>101</v>
      </c>
    </row>
    <row r="72" spans="1:18" ht="12.75" customHeight="1" x14ac:dyDescent="0.35">
      <c r="A72">
        <v>71</v>
      </c>
      <c r="B72" t="s">
        <v>304</v>
      </c>
      <c r="C72" t="s">
        <v>305</v>
      </c>
      <c r="D72" t="s">
        <v>306</v>
      </c>
      <c r="E72">
        <v>542220981</v>
      </c>
      <c r="F72" t="s">
        <v>32</v>
      </c>
      <c r="G72" t="s">
        <v>22</v>
      </c>
      <c r="H72" t="s">
        <v>40</v>
      </c>
      <c r="L72" s="3"/>
      <c r="M72" t="s">
        <v>86</v>
      </c>
      <c r="N72">
        <f t="shared" si="2"/>
        <v>14</v>
      </c>
      <c r="P72" t="s">
        <v>198</v>
      </c>
      <c r="Q72" s="2" t="s">
        <v>28</v>
      </c>
    </row>
    <row r="73" spans="1:18" ht="12.75" customHeight="1" x14ac:dyDescent="0.35">
      <c r="A73">
        <v>72</v>
      </c>
      <c r="B73" t="s">
        <v>307</v>
      </c>
      <c r="C73" t="s">
        <v>308</v>
      </c>
      <c r="D73" t="s">
        <v>309</v>
      </c>
      <c r="E73">
        <v>551666039</v>
      </c>
      <c r="F73" t="s">
        <v>32</v>
      </c>
      <c r="G73" t="s">
        <v>22</v>
      </c>
      <c r="H73" t="s">
        <v>40</v>
      </c>
      <c r="L73" s="3"/>
      <c r="M73" t="s">
        <v>86</v>
      </c>
      <c r="N73">
        <f t="shared" si="2"/>
        <v>14</v>
      </c>
      <c r="O73">
        <v>105</v>
      </c>
      <c r="Q73" s="2" t="s">
        <v>28</v>
      </c>
    </row>
    <row r="74" spans="1:18" ht="12.75" customHeight="1" x14ac:dyDescent="0.35">
      <c r="A74">
        <v>73</v>
      </c>
      <c r="B74" t="s">
        <v>310</v>
      </c>
      <c r="C74" t="s">
        <v>311</v>
      </c>
      <c r="D74" t="s">
        <v>312</v>
      </c>
      <c r="E74">
        <v>581785182</v>
      </c>
      <c r="F74" t="s">
        <v>32</v>
      </c>
      <c r="G74" t="s">
        <v>22</v>
      </c>
      <c r="H74" t="s">
        <v>40</v>
      </c>
      <c r="L74" s="3"/>
      <c r="M74" t="s">
        <v>86</v>
      </c>
      <c r="N74">
        <f t="shared" si="2"/>
        <v>14</v>
      </c>
      <c r="O74">
        <v>114</v>
      </c>
      <c r="P74" t="s">
        <v>194</v>
      </c>
      <c r="Q74" s="2" t="s">
        <v>100</v>
      </c>
      <c r="R74" t="s">
        <v>101</v>
      </c>
    </row>
    <row r="75" spans="1:18" ht="12.75" customHeight="1" x14ac:dyDescent="0.35">
      <c r="A75">
        <v>74</v>
      </c>
      <c r="B75" t="s">
        <v>313</v>
      </c>
      <c r="C75" t="s">
        <v>314</v>
      </c>
      <c r="D75" t="s">
        <v>315</v>
      </c>
      <c r="E75">
        <v>550753933</v>
      </c>
      <c r="F75" t="s">
        <v>32</v>
      </c>
      <c r="G75" t="s">
        <v>22</v>
      </c>
      <c r="H75" t="s">
        <v>40</v>
      </c>
      <c r="L75" s="3"/>
      <c r="M75" t="s">
        <v>86</v>
      </c>
      <c r="N75">
        <f t="shared" si="2"/>
        <v>14</v>
      </c>
      <c r="O75">
        <v>114</v>
      </c>
      <c r="P75" t="s">
        <v>194</v>
      </c>
      <c r="Q75" s="2" t="s">
        <v>100</v>
      </c>
      <c r="R75" t="s">
        <v>101</v>
      </c>
    </row>
    <row r="76" spans="1:18" ht="12.75" customHeight="1" x14ac:dyDescent="0.35">
      <c r="A76">
        <v>75</v>
      </c>
      <c r="B76" t="s">
        <v>316</v>
      </c>
      <c r="C76" t="s">
        <v>317</v>
      </c>
      <c r="D76" t="s">
        <v>318</v>
      </c>
      <c r="E76">
        <v>555230720</v>
      </c>
      <c r="F76" t="s">
        <v>32</v>
      </c>
      <c r="G76" t="s">
        <v>22</v>
      </c>
      <c r="H76" t="s">
        <v>90</v>
      </c>
      <c r="L76" s="3"/>
      <c r="M76" t="s">
        <v>86</v>
      </c>
      <c r="N76">
        <f t="shared" si="2"/>
        <v>16</v>
      </c>
      <c r="P76" t="s">
        <v>198</v>
      </c>
      <c r="Q76" s="2" t="s">
        <v>28</v>
      </c>
    </row>
    <row r="77" spans="1:18" ht="12.75" customHeight="1" x14ac:dyDescent="0.35">
      <c r="A77">
        <v>76</v>
      </c>
      <c r="B77" t="s">
        <v>319</v>
      </c>
      <c r="C77" t="s">
        <v>320</v>
      </c>
      <c r="D77" t="s">
        <v>321</v>
      </c>
      <c r="E77">
        <v>555686671</v>
      </c>
      <c r="F77" t="s">
        <v>32</v>
      </c>
      <c r="G77" t="s">
        <v>22</v>
      </c>
      <c r="H77" t="s">
        <v>90</v>
      </c>
      <c r="L77" s="3"/>
      <c r="M77" t="s">
        <v>86</v>
      </c>
      <c r="N77">
        <f t="shared" si="2"/>
        <v>16</v>
      </c>
      <c r="P77" t="s">
        <v>198</v>
      </c>
      <c r="Q77" s="2" t="s">
        <v>28</v>
      </c>
    </row>
    <row r="78" spans="1:18" ht="12.75" customHeight="1" x14ac:dyDescent="0.35">
      <c r="A78">
        <v>77</v>
      </c>
      <c r="B78" t="s">
        <v>322</v>
      </c>
      <c r="C78" t="s">
        <v>323</v>
      </c>
      <c r="D78" t="s">
        <v>324</v>
      </c>
      <c r="E78">
        <v>581007833</v>
      </c>
      <c r="F78" t="s">
        <v>32</v>
      </c>
      <c r="G78" t="s">
        <v>22</v>
      </c>
      <c r="H78" t="s">
        <v>223</v>
      </c>
      <c r="L78" s="3"/>
      <c r="M78" t="s">
        <v>86</v>
      </c>
      <c r="N78">
        <f t="shared" si="2"/>
        <v>16</v>
      </c>
      <c r="P78" t="s">
        <v>198</v>
      </c>
      <c r="Q78" s="2" t="s">
        <v>28</v>
      </c>
    </row>
    <row r="79" spans="1:18" ht="12.75" customHeight="1" x14ac:dyDescent="0.35">
      <c r="A79">
        <v>78</v>
      </c>
      <c r="B79" t="s">
        <v>325</v>
      </c>
      <c r="C79" t="s">
        <v>326</v>
      </c>
      <c r="D79" t="s">
        <v>327</v>
      </c>
      <c r="E79">
        <v>507000144</v>
      </c>
      <c r="F79" t="s">
        <v>48</v>
      </c>
      <c r="G79" t="s">
        <v>22</v>
      </c>
      <c r="H79" t="s">
        <v>23</v>
      </c>
      <c r="L79" s="3"/>
      <c r="M79" t="s">
        <v>86</v>
      </c>
      <c r="N79">
        <f t="shared" si="2"/>
        <v>12</v>
      </c>
      <c r="O79">
        <v>48</v>
      </c>
      <c r="Q79" s="2" t="s">
        <v>28</v>
      </c>
    </row>
    <row r="80" spans="1:18" ht="12.75" customHeight="1" x14ac:dyDescent="0.35">
      <c r="A80">
        <v>79</v>
      </c>
      <c r="B80" t="s">
        <v>328</v>
      </c>
      <c r="C80" t="s">
        <v>329</v>
      </c>
      <c r="D80" t="s">
        <v>330</v>
      </c>
      <c r="E80">
        <v>560008344</v>
      </c>
      <c r="F80" t="s">
        <v>48</v>
      </c>
      <c r="G80" t="s">
        <v>22</v>
      </c>
      <c r="H80" t="s">
        <v>23</v>
      </c>
      <c r="I80" t="s">
        <v>179</v>
      </c>
      <c r="J80" t="s">
        <v>331</v>
      </c>
      <c r="L80" t="s">
        <v>181</v>
      </c>
      <c r="M80" t="s">
        <v>86</v>
      </c>
      <c r="N80">
        <f t="shared" si="2"/>
        <v>12</v>
      </c>
      <c r="O80">
        <v>55</v>
      </c>
      <c r="Q80" s="2" t="s">
        <v>28</v>
      </c>
    </row>
    <row r="81" spans="1:18" ht="12.75" customHeight="1" x14ac:dyDescent="0.35">
      <c r="A81">
        <v>80</v>
      </c>
      <c r="B81">
        <v>4280812</v>
      </c>
      <c r="C81" t="s">
        <v>739</v>
      </c>
      <c r="D81" t="s">
        <v>740</v>
      </c>
      <c r="E81">
        <v>507230806</v>
      </c>
      <c r="F81" t="s">
        <v>48</v>
      </c>
      <c r="G81" t="s">
        <v>22</v>
      </c>
      <c r="H81" t="s">
        <v>40</v>
      </c>
      <c r="M81" t="s">
        <v>86</v>
      </c>
      <c r="N81">
        <f t="shared" si="2"/>
        <v>14</v>
      </c>
      <c r="O81">
        <v>50</v>
      </c>
      <c r="Q81" s="2" t="s">
        <v>100</v>
      </c>
      <c r="R81" t="s">
        <v>101</v>
      </c>
    </row>
    <row r="82" spans="1:18" ht="12.75" customHeight="1" x14ac:dyDescent="0.35">
      <c r="A82">
        <v>81</v>
      </c>
      <c r="B82" t="s">
        <v>332</v>
      </c>
      <c r="C82" t="s">
        <v>333</v>
      </c>
      <c r="D82" t="s">
        <v>334</v>
      </c>
      <c r="E82">
        <v>537413537</v>
      </c>
      <c r="F82" t="s">
        <v>48</v>
      </c>
      <c r="G82" t="s">
        <v>22</v>
      </c>
      <c r="H82" t="s">
        <v>40</v>
      </c>
      <c r="L82" s="3"/>
      <c r="M82" t="s">
        <v>86</v>
      </c>
      <c r="N82">
        <f t="shared" si="2"/>
        <v>14</v>
      </c>
      <c r="O82">
        <v>56</v>
      </c>
      <c r="Q82" s="2" t="s">
        <v>28</v>
      </c>
    </row>
    <row r="83" spans="1:18" ht="12.75" customHeight="1" x14ac:dyDescent="0.35">
      <c r="A83">
        <v>82</v>
      </c>
      <c r="B83" t="s">
        <v>335</v>
      </c>
      <c r="C83" t="s">
        <v>336</v>
      </c>
      <c r="D83" t="s">
        <v>337</v>
      </c>
      <c r="E83">
        <v>566644443</v>
      </c>
      <c r="F83" t="s">
        <v>48</v>
      </c>
      <c r="G83" t="s">
        <v>22</v>
      </c>
      <c r="H83" t="s">
        <v>90</v>
      </c>
      <c r="L83" s="3"/>
      <c r="M83" t="s">
        <v>86</v>
      </c>
      <c r="N83">
        <f t="shared" si="2"/>
        <v>16</v>
      </c>
      <c r="P83" t="s">
        <v>198</v>
      </c>
      <c r="Q83" s="2" t="s">
        <v>28</v>
      </c>
    </row>
    <row r="84" spans="1:18" ht="12.75" customHeight="1" x14ac:dyDescent="0.35">
      <c r="A84">
        <v>83</v>
      </c>
      <c r="B84" t="s">
        <v>338</v>
      </c>
      <c r="C84" t="s">
        <v>339</v>
      </c>
      <c r="D84" t="s">
        <v>340</v>
      </c>
      <c r="E84">
        <v>557386040</v>
      </c>
      <c r="F84" t="s">
        <v>48</v>
      </c>
      <c r="G84" t="s">
        <v>22</v>
      </c>
      <c r="H84" t="s">
        <v>90</v>
      </c>
      <c r="L84" s="3"/>
      <c r="M84" t="s">
        <v>86</v>
      </c>
      <c r="N84">
        <f t="shared" si="2"/>
        <v>16</v>
      </c>
      <c r="P84" t="s">
        <v>198</v>
      </c>
      <c r="Q84" s="2" t="s">
        <v>28</v>
      </c>
    </row>
    <row r="85" spans="1:18" ht="12.75" customHeight="1" x14ac:dyDescent="0.35">
      <c r="A85">
        <v>84</v>
      </c>
      <c r="B85" t="s">
        <v>341</v>
      </c>
      <c r="C85" t="s">
        <v>342</v>
      </c>
      <c r="D85" t="s">
        <v>343</v>
      </c>
      <c r="E85">
        <v>552817291</v>
      </c>
      <c r="F85" t="s">
        <v>67</v>
      </c>
      <c r="G85" t="s">
        <v>33</v>
      </c>
      <c r="H85" t="s">
        <v>23</v>
      </c>
      <c r="L85" s="3"/>
      <c r="M85" t="s">
        <v>86</v>
      </c>
      <c r="N85">
        <f t="shared" si="2"/>
        <v>12</v>
      </c>
      <c r="Q85" s="2" t="s">
        <v>28</v>
      </c>
    </row>
    <row r="86" spans="1:18" ht="12.75" customHeight="1" x14ac:dyDescent="0.35">
      <c r="A86">
        <v>85</v>
      </c>
      <c r="B86" t="s">
        <v>344</v>
      </c>
      <c r="C86" t="s">
        <v>345</v>
      </c>
      <c r="D86" t="s">
        <v>346</v>
      </c>
      <c r="E86">
        <v>501807352</v>
      </c>
      <c r="F86" t="s">
        <v>67</v>
      </c>
      <c r="G86" t="s">
        <v>33</v>
      </c>
      <c r="H86" t="s">
        <v>23</v>
      </c>
      <c r="L86" s="3"/>
      <c r="M86" t="s">
        <v>86</v>
      </c>
      <c r="N86">
        <f t="shared" si="2"/>
        <v>12</v>
      </c>
      <c r="Q86" s="2" t="s">
        <v>100</v>
      </c>
      <c r="R86" t="s">
        <v>101</v>
      </c>
    </row>
    <row r="87" spans="1:18" ht="12.75" customHeight="1" x14ac:dyDescent="0.35">
      <c r="A87">
        <v>86</v>
      </c>
      <c r="B87" t="s">
        <v>347</v>
      </c>
      <c r="C87" t="s">
        <v>348</v>
      </c>
      <c r="D87" t="s">
        <v>349</v>
      </c>
      <c r="E87">
        <v>550079696</v>
      </c>
      <c r="F87" t="s">
        <v>67</v>
      </c>
      <c r="G87" t="s">
        <v>33</v>
      </c>
      <c r="H87" t="s">
        <v>23</v>
      </c>
      <c r="L87" s="3"/>
      <c r="M87" t="s">
        <v>86</v>
      </c>
      <c r="N87">
        <f t="shared" si="2"/>
        <v>12</v>
      </c>
      <c r="Q87" s="2" t="s">
        <v>28</v>
      </c>
    </row>
    <row r="88" spans="1:18" ht="12.75" customHeight="1" x14ac:dyDescent="0.35">
      <c r="A88">
        <v>87</v>
      </c>
      <c r="B88" t="s">
        <v>350</v>
      </c>
      <c r="C88" t="s">
        <v>351</v>
      </c>
      <c r="D88" t="s">
        <v>352</v>
      </c>
      <c r="E88">
        <v>508174127</v>
      </c>
      <c r="F88" t="s">
        <v>67</v>
      </c>
      <c r="G88" t="s">
        <v>33</v>
      </c>
      <c r="H88" t="s">
        <v>40</v>
      </c>
      <c r="L88" s="3"/>
      <c r="M88" t="s">
        <v>86</v>
      </c>
      <c r="N88">
        <f t="shared" si="2"/>
        <v>14</v>
      </c>
      <c r="Q88" s="2" t="s">
        <v>28</v>
      </c>
    </row>
    <row r="89" spans="1:18" ht="12.75" customHeight="1" x14ac:dyDescent="0.35">
      <c r="A89">
        <v>88</v>
      </c>
      <c r="B89" t="s">
        <v>353</v>
      </c>
      <c r="C89" t="s">
        <v>354</v>
      </c>
      <c r="D89" t="s">
        <v>355</v>
      </c>
      <c r="E89">
        <v>56667975</v>
      </c>
      <c r="F89" t="s">
        <v>67</v>
      </c>
      <c r="G89" t="s">
        <v>33</v>
      </c>
      <c r="H89" t="s">
        <v>40</v>
      </c>
      <c r="L89" s="3"/>
      <c r="M89" t="s">
        <v>86</v>
      </c>
      <c r="N89">
        <f t="shared" si="2"/>
        <v>14</v>
      </c>
      <c r="Q89" s="2" t="s">
        <v>28</v>
      </c>
    </row>
    <row r="90" spans="1:18" ht="12.75" customHeight="1" x14ac:dyDescent="0.35">
      <c r="A90">
        <v>89</v>
      </c>
      <c r="B90" t="s">
        <v>356</v>
      </c>
      <c r="C90" t="s">
        <v>357</v>
      </c>
      <c r="D90" t="s">
        <v>358</v>
      </c>
      <c r="E90">
        <v>555687675</v>
      </c>
      <c r="F90" t="s">
        <v>67</v>
      </c>
      <c r="G90" t="s">
        <v>33</v>
      </c>
      <c r="H90" t="s">
        <v>40</v>
      </c>
      <c r="L90" s="3"/>
      <c r="M90" t="s">
        <v>86</v>
      </c>
      <c r="N90">
        <f t="shared" si="2"/>
        <v>14</v>
      </c>
      <c r="Q90" s="2" t="s">
        <v>28</v>
      </c>
    </row>
    <row r="91" spans="1:18" ht="12.75" customHeight="1" x14ac:dyDescent="0.35">
      <c r="A91">
        <v>90</v>
      </c>
      <c r="B91" t="s">
        <v>359</v>
      </c>
      <c r="C91" t="s">
        <v>360</v>
      </c>
      <c r="D91" t="s">
        <v>361</v>
      </c>
      <c r="E91">
        <v>503418627</v>
      </c>
      <c r="F91" t="s">
        <v>67</v>
      </c>
      <c r="G91" t="s">
        <v>33</v>
      </c>
      <c r="H91" t="s">
        <v>40</v>
      </c>
      <c r="L91" s="3"/>
      <c r="M91" t="s">
        <v>86</v>
      </c>
      <c r="N91">
        <f t="shared" si="2"/>
        <v>14</v>
      </c>
      <c r="Q91" s="2" t="s">
        <v>28</v>
      </c>
    </row>
    <row r="92" spans="1:18" ht="12.75" customHeight="1" x14ac:dyDescent="0.35">
      <c r="A92">
        <v>91</v>
      </c>
      <c r="B92" t="s">
        <v>362</v>
      </c>
      <c r="C92" t="s">
        <v>363</v>
      </c>
      <c r="D92" t="s">
        <v>364</v>
      </c>
      <c r="E92">
        <v>564589010</v>
      </c>
      <c r="F92" t="s">
        <v>67</v>
      </c>
      <c r="G92" t="s">
        <v>33</v>
      </c>
      <c r="H92" t="s">
        <v>40</v>
      </c>
      <c r="L92" s="3"/>
      <c r="M92" t="s">
        <v>86</v>
      </c>
      <c r="N92">
        <f t="shared" si="2"/>
        <v>14</v>
      </c>
      <c r="Q92" s="2" t="s">
        <v>28</v>
      </c>
    </row>
    <row r="93" spans="1:18" ht="12.75" customHeight="1" x14ac:dyDescent="0.35">
      <c r="A93">
        <v>92</v>
      </c>
      <c r="B93" t="s">
        <v>365</v>
      </c>
      <c r="C93" t="s">
        <v>366</v>
      </c>
      <c r="D93" t="s">
        <v>367</v>
      </c>
      <c r="E93">
        <v>593800313</v>
      </c>
      <c r="F93" t="s">
        <v>67</v>
      </c>
      <c r="G93" t="s">
        <v>33</v>
      </c>
      <c r="H93" t="s">
        <v>40</v>
      </c>
      <c r="L93" s="3"/>
      <c r="M93" t="s">
        <v>86</v>
      </c>
      <c r="N93">
        <f t="shared" si="2"/>
        <v>14</v>
      </c>
      <c r="Q93" s="2" t="s">
        <v>100</v>
      </c>
      <c r="R93" t="s">
        <v>101</v>
      </c>
    </row>
    <row r="94" spans="1:18" ht="12.75" customHeight="1" x14ac:dyDescent="0.35">
      <c r="A94">
        <v>93</v>
      </c>
      <c r="B94" t="s">
        <v>368</v>
      </c>
      <c r="C94" t="s">
        <v>369</v>
      </c>
      <c r="D94" t="s">
        <v>370</v>
      </c>
      <c r="E94">
        <v>544981554</v>
      </c>
      <c r="F94" t="s">
        <v>67</v>
      </c>
      <c r="G94" t="s">
        <v>33</v>
      </c>
      <c r="H94" t="s">
        <v>40</v>
      </c>
      <c r="L94" s="3"/>
      <c r="M94" t="s">
        <v>86</v>
      </c>
      <c r="N94">
        <f t="shared" si="2"/>
        <v>14</v>
      </c>
      <c r="Q94" s="2" t="s">
        <v>100</v>
      </c>
      <c r="R94" t="s">
        <v>101</v>
      </c>
    </row>
    <row r="95" spans="1:18" ht="12.75" customHeight="1" x14ac:dyDescent="0.35">
      <c r="A95">
        <v>94</v>
      </c>
      <c r="B95" t="s">
        <v>371</v>
      </c>
      <c r="C95" t="s">
        <v>372</v>
      </c>
      <c r="D95" t="s">
        <v>373</v>
      </c>
      <c r="E95" t="s">
        <v>374</v>
      </c>
      <c r="F95" t="s">
        <v>67</v>
      </c>
      <c r="G95" t="s">
        <v>33</v>
      </c>
      <c r="H95" t="s">
        <v>40</v>
      </c>
      <c r="L95" s="3"/>
      <c r="M95" t="s">
        <v>86</v>
      </c>
      <c r="N95">
        <f t="shared" si="2"/>
        <v>14</v>
      </c>
      <c r="Q95" s="2" t="s">
        <v>28</v>
      </c>
    </row>
    <row r="96" spans="1:18" ht="12.75" customHeight="1" x14ac:dyDescent="0.35">
      <c r="A96">
        <v>95</v>
      </c>
      <c r="B96" t="s">
        <v>375</v>
      </c>
      <c r="C96" t="s">
        <v>376</v>
      </c>
      <c r="D96" t="s">
        <v>377</v>
      </c>
      <c r="E96">
        <v>834288337</v>
      </c>
      <c r="F96" t="s">
        <v>67</v>
      </c>
      <c r="G96" t="s">
        <v>33</v>
      </c>
      <c r="H96" t="s">
        <v>40</v>
      </c>
      <c r="I96" t="s">
        <v>179</v>
      </c>
      <c r="J96" t="s">
        <v>378</v>
      </c>
      <c r="L96" t="s">
        <v>181</v>
      </c>
      <c r="M96" t="s">
        <v>86</v>
      </c>
      <c r="N96">
        <f t="shared" si="2"/>
        <v>14</v>
      </c>
      <c r="Q96" s="2" t="s">
        <v>100</v>
      </c>
      <c r="R96" t="s">
        <v>101</v>
      </c>
    </row>
    <row r="97" spans="1:18" ht="12.75" customHeight="1" x14ac:dyDescent="0.35">
      <c r="A97">
        <v>96</v>
      </c>
      <c r="B97" t="s">
        <v>379</v>
      </c>
      <c r="C97" t="s">
        <v>380</v>
      </c>
      <c r="D97" t="s">
        <v>381</v>
      </c>
      <c r="E97">
        <v>545831610</v>
      </c>
      <c r="F97" t="s">
        <v>67</v>
      </c>
      <c r="G97" t="s">
        <v>33</v>
      </c>
      <c r="H97" t="s">
        <v>40</v>
      </c>
      <c r="L97" s="3"/>
      <c r="M97" t="s">
        <v>86</v>
      </c>
      <c r="N97">
        <f t="shared" si="2"/>
        <v>14</v>
      </c>
      <c r="Q97" s="2" t="s">
        <v>100</v>
      </c>
      <c r="R97" t="s">
        <v>101</v>
      </c>
    </row>
    <row r="98" spans="1:18" ht="12.75" customHeight="1" x14ac:dyDescent="0.35">
      <c r="A98">
        <v>97</v>
      </c>
      <c r="B98" t="s">
        <v>382</v>
      </c>
      <c r="C98" t="s">
        <v>383</v>
      </c>
      <c r="D98" t="s">
        <v>384</v>
      </c>
      <c r="E98">
        <v>541810415</v>
      </c>
      <c r="F98" t="s">
        <v>67</v>
      </c>
      <c r="G98" t="s">
        <v>33</v>
      </c>
      <c r="H98" t="s">
        <v>40</v>
      </c>
      <c r="L98" s="3"/>
      <c r="M98" t="s">
        <v>86</v>
      </c>
      <c r="N98">
        <f t="shared" si="2"/>
        <v>14</v>
      </c>
      <c r="Q98" s="2" t="s">
        <v>100</v>
      </c>
      <c r="R98" t="s">
        <v>101</v>
      </c>
    </row>
    <row r="99" spans="1:18" ht="12.75" customHeight="1" x14ac:dyDescent="0.35">
      <c r="A99">
        <v>98</v>
      </c>
      <c r="B99" t="s">
        <v>385</v>
      </c>
      <c r="C99" t="s">
        <v>386</v>
      </c>
      <c r="D99" t="s">
        <v>387</v>
      </c>
      <c r="E99">
        <v>558958186</v>
      </c>
      <c r="F99" t="s">
        <v>67</v>
      </c>
      <c r="G99" t="s">
        <v>33</v>
      </c>
      <c r="H99" t="s">
        <v>40</v>
      </c>
      <c r="L99" s="3"/>
      <c r="M99" t="s">
        <v>86</v>
      </c>
      <c r="N99">
        <f>IF(OR(ISNUMBER(SEARCH("معار",I99&amp;" "&amp;K99&amp;" "&amp;Q99)),ISNUMBER(SEARCH("مجاز",I99&amp;" "&amp;K99&amp;" "&amp;Q99)),ISNUMBER(SEARCH("مبتعث",I99&amp;" "&amp;K99&amp;" "&amp;Q99))),0,IF(M99="الحد الأدنى",3,IF(M99="50%",ROUND(IF(H99="استاذ",10,IF(H99="استاذ مشارك",12,IF(H99="استاذ مساعد",14,16)))/2,0),IF(H99="استاذ",10,IF(H99="استاذ مشارك",12,IF(H99="استاذ مساعد",14,16))))))</f>
        <v>14</v>
      </c>
      <c r="Q99" s="2" t="s">
        <v>100</v>
      </c>
      <c r="R99" t="s">
        <v>101</v>
      </c>
    </row>
    <row r="100" spans="1:18" ht="12.75" customHeight="1" x14ac:dyDescent="0.35">
      <c r="A100">
        <v>99</v>
      </c>
      <c r="B100" t="s">
        <v>388</v>
      </c>
      <c r="C100" t="s">
        <v>389</v>
      </c>
      <c r="D100" t="s">
        <v>390</v>
      </c>
      <c r="E100">
        <v>560753804</v>
      </c>
      <c r="F100" t="s">
        <v>67</v>
      </c>
      <c r="G100" t="s">
        <v>33</v>
      </c>
      <c r="H100" t="s">
        <v>40</v>
      </c>
      <c r="L100" s="3"/>
      <c r="M100" t="s">
        <v>86</v>
      </c>
      <c r="N100">
        <f>IF(OR(ISNUMBER(SEARCH("معار",I100&amp;" "&amp;K100&amp;" "&amp;Q100)),ISNUMBER(SEARCH("مجاز",I100&amp;" "&amp;K100&amp;" "&amp;Q100)),ISNUMBER(SEARCH("مبتعث",I100&amp;" "&amp;K100&amp;" "&amp;Q100))),0,IF(M100="الحد الأدنى",3,IF(M100="50%",ROUND(IF(H100="استاذ",10,IF(H100="استاذ مشارك",12,IF(H100="استاذ مساعد",14,16)))/2,0),IF(H100="استاذ",10,IF(H100="استاذ مشارك",12,IF(H100="استاذ مساعد",14,16))))))</f>
        <v>14</v>
      </c>
      <c r="Q100" s="2" t="s">
        <v>100</v>
      </c>
      <c r="R100" t="s">
        <v>101</v>
      </c>
    </row>
    <row r="101" spans="1:18" ht="12.75" customHeight="1" x14ac:dyDescent="0.35">
      <c r="A101">
        <v>100</v>
      </c>
      <c r="B101" t="s">
        <v>391</v>
      </c>
      <c r="C101" t="s">
        <v>392</v>
      </c>
      <c r="D101" t="s">
        <v>393</v>
      </c>
      <c r="E101" t="s">
        <v>374</v>
      </c>
      <c r="F101" t="s">
        <v>67</v>
      </c>
      <c r="G101" t="s">
        <v>33</v>
      </c>
      <c r="H101" t="s">
        <v>90</v>
      </c>
      <c r="L101" s="3"/>
      <c r="M101" t="s">
        <v>86</v>
      </c>
      <c r="N101">
        <f t="shared" ref="N101:N130" si="3">IF(OR(ISNUMBER(SEARCH("معار",I101&amp;" "&amp;K101&amp;" "&amp;Q101)),ISNUMBER(SEARCH("مجاز",I101&amp;" "&amp;K101&amp;" "&amp;Q101)),ISNUMBER(SEARCH("مبتعث",I101&amp;" "&amp;K101&amp;" "&amp;Q101))),0,IF(M101="الحد الأدنى",3,IF(M101="50%",ROUND(IF(H101="استاذ",10,IF(H101="استاذ مشارك",12,IF(H101="استاذ مساعد",14,16)))/2,0),IF(H101="استاذ",10,IF(H101="استاذ مشارك",12,IF(H101="استاذ مساعد",14,16))))))</f>
        <v>16</v>
      </c>
      <c r="Q101" s="2" t="s">
        <v>28</v>
      </c>
    </row>
    <row r="102" spans="1:18" ht="12.75" customHeight="1" x14ac:dyDescent="0.35">
      <c r="A102">
        <v>101</v>
      </c>
      <c r="B102" t="s">
        <v>394</v>
      </c>
      <c r="C102" t="s">
        <v>395</v>
      </c>
      <c r="D102" t="s">
        <v>396</v>
      </c>
      <c r="E102" t="s">
        <v>374</v>
      </c>
      <c r="F102" t="s">
        <v>67</v>
      </c>
      <c r="G102" t="s">
        <v>33</v>
      </c>
      <c r="H102" t="s">
        <v>223</v>
      </c>
      <c r="L102" s="3"/>
      <c r="M102" t="s">
        <v>86</v>
      </c>
      <c r="N102">
        <f t="shared" si="3"/>
        <v>16</v>
      </c>
      <c r="Q102" s="2" t="s">
        <v>28</v>
      </c>
    </row>
    <row r="103" spans="1:18" ht="12.75" customHeight="1" x14ac:dyDescent="0.35">
      <c r="A103">
        <v>102</v>
      </c>
      <c r="B103" t="s">
        <v>397</v>
      </c>
      <c r="C103" t="s">
        <v>398</v>
      </c>
      <c r="D103" t="s">
        <v>399</v>
      </c>
      <c r="E103" t="s">
        <v>374</v>
      </c>
      <c r="F103" t="s">
        <v>67</v>
      </c>
      <c r="G103" t="s">
        <v>33</v>
      </c>
      <c r="H103" t="s">
        <v>223</v>
      </c>
      <c r="L103" s="3"/>
      <c r="M103" t="s">
        <v>86</v>
      </c>
      <c r="N103">
        <f t="shared" si="3"/>
        <v>16</v>
      </c>
      <c r="Q103" s="2" t="s">
        <v>28</v>
      </c>
    </row>
    <row r="104" spans="1:18" ht="12.75" customHeight="1" x14ac:dyDescent="0.35">
      <c r="A104">
        <v>103</v>
      </c>
      <c r="B104" t="s">
        <v>400</v>
      </c>
      <c r="C104" t="s">
        <v>401</v>
      </c>
      <c r="D104" t="s">
        <v>402</v>
      </c>
      <c r="E104">
        <v>569220997</v>
      </c>
      <c r="F104" t="s">
        <v>67</v>
      </c>
      <c r="G104" t="s">
        <v>33</v>
      </c>
      <c r="H104" t="s">
        <v>223</v>
      </c>
      <c r="L104" s="3"/>
      <c r="M104" t="s">
        <v>86</v>
      </c>
      <c r="N104">
        <f t="shared" si="3"/>
        <v>16</v>
      </c>
      <c r="Q104" s="2" t="s">
        <v>28</v>
      </c>
    </row>
    <row r="105" spans="1:18" ht="12.75" customHeight="1" x14ac:dyDescent="0.35">
      <c r="A105">
        <v>104</v>
      </c>
      <c r="B105" t="s">
        <v>403</v>
      </c>
      <c r="C105" t="s">
        <v>404</v>
      </c>
      <c r="D105" t="s">
        <v>405</v>
      </c>
      <c r="E105">
        <v>533907544</v>
      </c>
      <c r="F105" t="s">
        <v>67</v>
      </c>
      <c r="G105" t="s">
        <v>33</v>
      </c>
      <c r="H105" t="s">
        <v>223</v>
      </c>
      <c r="L105" s="3"/>
      <c r="M105" t="s">
        <v>86</v>
      </c>
      <c r="N105">
        <f t="shared" si="3"/>
        <v>16</v>
      </c>
      <c r="Q105" s="2" t="s">
        <v>28</v>
      </c>
    </row>
    <row r="106" spans="1:18" ht="12.75" customHeight="1" x14ac:dyDescent="0.35">
      <c r="A106">
        <v>105</v>
      </c>
      <c r="B106" t="s">
        <v>406</v>
      </c>
      <c r="C106" t="s">
        <v>407</v>
      </c>
      <c r="D106" t="s">
        <v>408</v>
      </c>
      <c r="E106">
        <v>554718080</v>
      </c>
      <c r="F106" t="s">
        <v>67</v>
      </c>
      <c r="G106" t="s">
        <v>33</v>
      </c>
      <c r="H106" t="s">
        <v>223</v>
      </c>
      <c r="L106" s="3"/>
      <c r="M106" t="s">
        <v>86</v>
      </c>
      <c r="N106">
        <f t="shared" si="3"/>
        <v>16</v>
      </c>
      <c r="Q106" s="2" t="s">
        <v>28</v>
      </c>
    </row>
    <row r="107" spans="1:18" ht="12.75" customHeight="1" x14ac:dyDescent="0.35">
      <c r="A107">
        <v>106</v>
      </c>
      <c r="B107" t="s">
        <v>409</v>
      </c>
      <c r="C107" t="s">
        <v>410</v>
      </c>
      <c r="D107" t="s">
        <v>411</v>
      </c>
      <c r="E107" t="s">
        <v>374</v>
      </c>
      <c r="F107" t="s">
        <v>67</v>
      </c>
      <c r="G107" t="s">
        <v>33</v>
      </c>
      <c r="H107" t="s">
        <v>223</v>
      </c>
      <c r="L107" s="3"/>
      <c r="M107" t="s">
        <v>86</v>
      </c>
      <c r="N107">
        <f t="shared" si="3"/>
        <v>16</v>
      </c>
      <c r="Q107" s="2" t="s">
        <v>28</v>
      </c>
    </row>
    <row r="108" spans="1:18" ht="12.75" customHeight="1" x14ac:dyDescent="0.35">
      <c r="A108">
        <v>107</v>
      </c>
      <c r="B108" t="s">
        <v>412</v>
      </c>
      <c r="C108" t="s">
        <v>413</v>
      </c>
      <c r="D108" t="s">
        <v>414</v>
      </c>
      <c r="E108" t="s">
        <v>374</v>
      </c>
      <c r="F108" t="s">
        <v>67</v>
      </c>
      <c r="G108" t="s">
        <v>33</v>
      </c>
      <c r="H108" t="s">
        <v>223</v>
      </c>
      <c r="L108" s="3"/>
      <c r="M108" t="s">
        <v>86</v>
      </c>
      <c r="N108">
        <f t="shared" si="3"/>
        <v>16</v>
      </c>
      <c r="Q108" s="2" t="s">
        <v>28</v>
      </c>
    </row>
    <row r="109" spans="1:18" ht="12.75" customHeight="1" x14ac:dyDescent="0.35">
      <c r="A109">
        <v>108</v>
      </c>
      <c r="B109" t="s">
        <v>415</v>
      </c>
      <c r="C109" t="s">
        <v>416</v>
      </c>
      <c r="D109" t="s">
        <v>417</v>
      </c>
      <c r="E109">
        <v>504727276</v>
      </c>
      <c r="F109" t="s">
        <v>21</v>
      </c>
      <c r="G109" t="s">
        <v>33</v>
      </c>
      <c r="H109" t="s">
        <v>23</v>
      </c>
      <c r="L109" s="3"/>
      <c r="M109" t="s">
        <v>86</v>
      </c>
      <c r="N109">
        <f t="shared" si="3"/>
        <v>12</v>
      </c>
      <c r="Q109" s="2" t="s">
        <v>28</v>
      </c>
    </row>
    <row r="110" spans="1:18" ht="12.75" customHeight="1" x14ac:dyDescent="0.35">
      <c r="A110">
        <v>109</v>
      </c>
      <c r="B110" t="s">
        <v>418</v>
      </c>
      <c r="C110" t="s">
        <v>419</v>
      </c>
      <c r="D110" t="s">
        <v>420</v>
      </c>
      <c r="E110">
        <v>554606424</v>
      </c>
      <c r="F110" t="s">
        <v>21</v>
      </c>
      <c r="G110" t="s">
        <v>33</v>
      </c>
      <c r="H110" t="s">
        <v>23</v>
      </c>
      <c r="L110" s="3"/>
      <c r="M110" t="s">
        <v>86</v>
      </c>
      <c r="N110">
        <f t="shared" si="3"/>
        <v>12</v>
      </c>
      <c r="Q110" s="2" t="s">
        <v>28</v>
      </c>
    </row>
    <row r="111" spans="1:18" ht="12.75" customHeight="1" x14ac:dyDescent="0.35">
      <c r="A111">
        <v>110</v>
      </c>
      <c r="B111" t="s">
        <v>421</v>
      </c>
      <c r="C111" t="s">
        <v>422</v>
      </c>
      <c r="D111" t="s">
        <v>423</v>
      </c>
      <c r="E111">
        <v>560454540</v>
      </c>
      <c r="F111" t="s">
        <v>21</v>
      </c>
      <c r="G111" t="s">
        <v>33</v>
      </c>
      <c r="H111" t="s">
        <v>23</v>
      </c>
      <c r="L111" s="3"/>
      <c r="M111" t="s">
        <v>86</v>
      </c>
      <c r="N111">
        <f t="shared" si="3"/>
        <v>12</v>
      </c>
      <c r="Q111" s="2" t="s">
        <v>28</v>
      </c>
    </row>
    <row r="112" spans="1:18" ht="12.75" customHeight="1" x14ac:dyDescent="0.35">
      <c r="A112">
        <v>111</v>
      </c>
      <c r="B112" t="s">
        <v>424</v>
      </c>
      <c r="C112" t="s">
        <v>425</v>
      </c>
      <c r="D112" t="s">
        <v>426</v>
      </c>
      <c r="E112">
        <v>535685558</v>
      </c>
      <c r="F112" t="s">
        <v>21</v>
      </c>
      <c r="G112" t="s">
        <v>33</v>
      </c>
      <c r="H112" t="s">
        <v>40</v>
      </c>
      <c r="L112" s="3"/>
      <c r="M112" t="s">
        <v>86</v>
      </c>
      <c r="N112">
        <f t="shared" si="3"/>
        <v>14</v>
      </c>
      <c r="Q112" s="2" t="s">
        <v>28</v>
      </c>
    </row>
    <row r="113" spans="1:18" ht="12.75" customHeight="1" x14ac:dyDescent="0.35">
      <c r="A113">
        <v>112</v>
      </c>
      <c r="B113" t="s">
        <v>427</v>
      </c>
      <c r="C113" t="s">
        <v>428</v>
      </c>
      <c r="D113" t="s">
        <v>429</v>
      </c>
      <c r="E113">
        <v>504112249</v>
      </c>
      <c r="F113" t="s">
        <v>21</v>
      </c>
      <c r="G113" t="s">
        <v>33</v>
      </c>
      <c r="H113" t="s">
        <v>40</v>
      </c>
      <c r="L113" s="3"/>
      <c r="M113" t="s">
        <v>86</v>
      </c>
      <c r="N113">
        <f t="shared" si="3"/>
        <v>14</v>
      </c>
      <c r="Q113" s="2" t="s">
        <v>28</v>
      </c>
    </row>
    <row r="114" spans="1:18" ht="12.75" customHeight="1" x14ac:dyDescent="0.35">
      <c r="A114">
        <v>113</v>
      </c>
      <c r="B114" t="s">
        <v>430</v>
      </c>
      <c r="C114" t="s">
        <v>431</v>
      </c>
      <c r="D114" t="s">
        <v>432</v>
      </c>
      <c r="E114">
        <v>544800847</v>
      </c>
      <c r="F114" t="s">
        <v>21</v>
      </c>
      <c r="G114" t="s">
        <v>33</v>
      </c>
      <c r="H114" t="s">
        <v>40</v>
      </c>
      <c r="L114" s="3"/>
      <c r="M114" t="s">
        <v>86</v>
      </c>
      <c r="N114">
        <f t="shared" si="3"/>
        <v>14</v>
      </c>
      <c r="Q114" s="2" t="s">
        <v>28</v>
      </c>
    </row>
    <row r="115" spans="1:18" ht="12.75" customHeight="1" x14ac:dyDescent="0.35">
      <c r="A115">
        <v>114</v>
      </c>
      <c r="B115" t="s">
        <v>433</v>
      </c>
      <c r="C115" t="s">
        <v>434</v>
      </c>
      <c r="D115" t="s">
        <v>435</v>
      </c>
      <c r="E115">
        <v>590567278</v>
      </c>
      <c r="F115" t="s">
        <v>21</v>
      </c>
      <c r="G115" t="s">
        <v>33</v>
      </c>
      <c r="H115" t="s">
        <v>40</v>
      </c>
      <c r="L115" s="3"/>
      <c r="M115" t="s">
        <v>86</v>
      </c>
      <c r="N115">
        <f t="shared" si="3"/>
        <v>14</v>
      </c>
      <c r="Q115" s="2" t="s">
        <v>28</v>
      </c>
    </row>
    <row r="116" spans="1:18" ht="12.75" customHeight="1" x14ac:dyDescent="0.35">
      <c r="A116">
        <v>115</v>
      </c>
      <c r="B116" t="s">
        <v>436</v>
      </c>
      <c r="C116" t="s">
        <v>437</v>
      </c>
      <c r="D116" t="s">
        <v>438</v>
      </c>
      <c r="E116">
        <v>548931055</v>
      </c>
      <c r="F116" t="s">
        <v>21</v>
      </c>
      <c r="G116" t="s">
        <v>33</v>
      </c>
      <c r="H116" t="s">
        <v>40</v>
      </c>
      <c r="L116" s="3"/>
      <c r="M116" t="s">
        <v>86</v>
      </c>
      <c r="N116">
        <f t="shared" si="3"/>
        <v>14</v>
      </c>
      <c r="Q116" s="2" t="s">
        <v>100</v>
      </c>
      <c r="R116" t="s">
        <v>101</v>
      </c>
    </row>
    <row r="117" spans="1:18" ht="12.75" customHeight="1" x14ac:dyDescent="0.35">
      <c r="A117">
        <v>116</v>
      </c>
      <c r="B117" t="s">
        <v>439</v>
      </c>
      <c r="C117" t="s">
        <v>440</v>
      </c>
      <c r="D117" t="s">
        <v>441</v>
      </c>
      <c r="E117">
        <v>544762737</v>
      </c>
      <c r="F117" t="s">
        <v>21</v>
      </c>
      <c r="G117" t="s">
        <v>33</v>
      </c>
      <c r="H117" t="s">
        <v>40</v>
      </c>
      <c r="L117" s="3"/>
      <c r="M117" t="s">
        <v>86</v>
      </c>
      <c r="N117">
        <f t="shared" si="3"/>
        <v>14</v>
      </c>
      <c r="Q117" s="2" t="s">
        <v>28</v>
      </c>
    </row>
    <row r="118" spans="1:18" ht="12.75" customHeight="1" x14ac:dyDescent="0.35">
      <c r="A118">
        <v>117</v>
      </c>
      <c r="B118" t="s">
        <v>442</v>
      </c>
      <c r="C118" t="s">
        <v>443</v>
      </c>
      <c r="D118" t="s">
        <v>444</v>
      </c>
      <c r="E118">
        <v>567756961</v>
      </c>
      <c r="F118" t="s">
        <v>21</v>
      </c>
      <c r="G118" t="s">
        <v>33</v>
      </c>
      <c r="H118" t="s">
        <v>40</v>
      </c>
      <c r="L118" s="3"/>
      <c r="M118" t="s">
        <v>86</v>
      </c>
      <c r="N118">
        <f t="shared" si="3"/>
        <v>14</v>
      </c>
      <c r="Q118" s="2" t="s">
        <v>100</v>
      </c>
      <c r="R118" t="s">
        <v>101</v>
      </c>
    </row>
    <row r="119" spans="1:18" ht="12.75" customHeight="1" x14ac:dyDescent="0.35">
      <c r="A119">
        <v>118</v>
      </c>
      <c r="B119" t="s">
        <v>445</v>
      </c>
      <c r="C119" t="s">
        <v>446</v>
      </c>
      <c r="D119" t="s">
        <v>447</v>
      </c>
      <c r="E119">
        <v>533284918</v>
      </c>
      <c r="F119" t="s">
        <v>21</v>
      </c>
      <c r="G119" t="s">
        <v>33</v>
      </c>
      <c r="H119" t="s">
        <v>40</v>
      </c>
      <c r="I119" t="s">
        <v>179</v>
      </c>
      <c r="J119" t="s">
        <v>448</v>
      </c>
      <c r="L119" t="s">
        <v>181</v>
      </c>
      <c r="M119" t="s">
        <v>86</v>
      </c>
      <c r="N119">
        <f t="shared" si="3"/>
        <v>14</v>
      </c>
      <c r="Q119" s="2" t="s">
        <v>100</v>
      </c>
      <c r="R119" t="s">
        <v>101</v>
      </c>
    </row>
    <row r="120" spans="1:18" ht="12.75" customHeight="1" x14ac:dyDescent="0.35">
      <c r="A120">
        <v>119</v>
      </c>
      <c r="B120" t="s">
        <v>449</v>
      </c>
      <c r="C120" t="s">
        <v>450</v>
      </c>
      <c r="D120" t="s">
        <v>451</v>
      </c>
      <c r="E120">
        <v>540909790</v>
      </c>
      <c r="F120" t="s">
        <v>21</v>
      </c>
      <c r="G120" t="s">
        <v>33</v>
      </c>
      <c r="H120" t="s">
        <v>90</v>
      </c>
      <c r="L120" s="3"/>
      <c r="M120" t="s">
        <v>86</v>
      </c>
      <c r="N120">
        <f t="shared" si="3"/>
        <v>16</v>
      </c>
      <c r="Q120" s="2" t="s">
        <v>28</v>
      </c>
    </row>
    <row r="121" spans="1:18" ht="12.75" customHeight="1" x14ac:dyDescent="0.35">
      <c r="A121">
        <v>120</v>
      </c>
      <c r="B121" t="s">
        <v>452</v>
      </c>
      <c r="C121" t="s">
        <v>453</v>
      </c>
      <c r="D121" t="s">
        <v>454</v>
      </c>
      <c r="E121">
        <v>555711133</v>
      </c>
      <c r="F121" t="s">
        <v>21</v>
      </c>
      <c r="G121" t="s">
        <v>33</v>
      </c>
      <c r="H121" t="s">
        <v>90</v>
      </c>
      <c r="L121" s="3"/>
      <c r="M121" t="s">
        <v>86</v>
      </c>
      <c r="N121">
        <f t="shared" si="3"/>
        <v>16</v>
      </c>
      <c r="Q121" s="2" t="s">
        <v>28</v>
      </c>
    </row>
    <row r="122" spans="1:18" ht="12.75" customHeight="1" x14ac:dyDescent="0.35">
      <c r="A122">
        <v>121</v>
      </c>
      <c r="B122" t="s">
        <v>455</v>
      </c>
      <c r="C122" t="s">
        <v>456</v>
      </c>
      <c r="D122" t="s">
        <v>457</v>
      </c>
      <c r="E122" t="s">
        <v>374</v>
      </c>
      <c r="F122" t="s">
        <v>21</v>
      </c>
      <c r="G122" t="s">
        <v>33</v>
      </c>
      <c r="H122" t="s">
        <v>90</v>
      </c>
      <c r="L122" s="3"/>
      <c r="M122" t="s">
        <v>86</v>
      </c>
      <c r="N122">
        <f t="shared" si="3"/>
        <v>16</v>
      </c>
      <c r="Q122" s="2" t="s">
        <v>28</v>
      </c>
    </row>
    <row r="123" spans="1:18" ht="12.75" customHeight="1" x14ac:dyDescent="0.35">
      <c r="A123">
        <v>122</v>
      </c>
      <c r="B123" t="s">
        <v>458</v>
      </c>
      <c r="C123" t="s">
        <v>459</v>
      </c>
      <c r="D123" t="s">
        <v>460</v>
      </c>
      <c r="E123">
        <v>566811636</v>
      </c>
      <c r="F123" t="s">
        <v>21</v>
      </c>
      <c r="G123" t="s">
        <v>33</v>
      </c>
      <c r="H123" t="s">
        <v>90</v>
      </c>
      <c r="L123" s="3"/>
      <c r="M123" t="s">
        <v>86</v>
      </c>
      <c r="N123">
        <f t="shared" si="3"/>
        <v>16</v>
      </c>
      <c r="Q123" s="2" t="s">
        <v>28</v>
      </c>
    </row>
    <row r="124" spans="1:18" ht="12.75" customHeight="1" x14ac:dyDescent="0.35">
      <c r="A124">
        <v>123</v>
      </c>
      <c r="B124" t="s">
        <v>461</v>
      </c>
      <c r="C124" t="s">
        <v>462</v>
      </c>
      <c r="D124" t="s">
        <v>463</v>
      </c>
      <c r="E124">
        <v>555688587</v>
      </c>
      <c r="F124" t="s">
        <v>21</v>
      </c>
      <c r="G124" t="s">
        <v>33</v>
      </c>
      <c r="H124" t="s">
        <v>90</v>
      </c>
      <c r="L124" s="3"/>
      <c r="M124" t="s">
        <v>86</v>
      </c>
      <c r="N124">
        <f t="shared" si="3"/>
        <v>16</v>
      </c>
      <c r="Q124" s="2" t="s">
        <v>28</v>
      </c>
    </row>
    <row r="125" spans="1:18" ht="12.75" customHeight="1" x14ac:dyDescent="0.35">
      <c r="A125">
        <v>124</v>
      </c>
      <c r="B125" t="s">
        <v>464</v>
      </c>
      <c r="C125" t="s">
        <v>465</v>
      </c>
      <c r="D125" t="s">
        <v>466</v>
      </c>
      <c r="E125" t="s">
        <v>374</v>
      </c>
      <c r="F125" t="s">
        <v>21</v>
      </c>
      <c r="G125" t="s">
        <v>33</v>
      </c>
      <c r="H125" t="s">
        <v>223</v>
      </c>
      <c r="L125" s="3"/>
      <c r="M125" t="s">
        <v>86</v>
      </c>
      <c r="N125">
        <f t="shared" si="3"/>
        <v>16</v>
      </c>
      <c r="Q125" s="2" t="s">
        <v>28</v>
      </c>
    </row>
    <row r="126" spans="1:18" ht="12.75" customHeight="1" x14ac:dyDescent="0.35">
      <c r="A126">
        <v>125</v>
      </c>
      <c r="B126" t="s">
        <v>467</v>
      </c>
      <c r="C126" t="s">
        <v>468</v>
      </c>
      <c r="D126" t="s">
        <v>469</v>
      </c>
      <c r="E126">
        <v>508915311</v>
      </c>
      <c r="F126" t="s">
        <v>21</v>
      </c>
      <c r="G126" t="s">
        <v>33</v>
      </c>
      <c r="H126" t="s">
        <v>223</v>
      </c>
      <c r="L126" s="3"/>
      <c r="M126" t="s">
        <v>86</v>
      </c>
      <c r="N126">
        <f t="shared" si="3"/>
        <v>16</v>
      </c>
      <c r="Q126" s="2" t="s">
        <v>28</v>
      </c>
    </row>
    <row r="127" spans="1:18" ht="12.75" customHeight="1" x14ac:dyDescent="0.35">
      <c r="A127">
        <v>126</v>
      </c>
      <c r="B127" t="s">
        <v>470</v>
      </c>
      <c r="C127" t="s">
        <v>471</v>
      </c>
      <c r="D127" t="s">
        <v>472</v>
      </c>
      <c r="E127">
        <v>549339127</v>
      </c>
      <c r="F127" t="s">
        <v>21</v>
      </c>
      <c r="G127" t="s">
        <v>33</v>
      </c>
      <c r="H127" t="s">
        <v>223</v>
      </c>
      <c r="L127" s="3"/>
      <c r="M127" t="s">
        <v>86</v>
      </c>
      <c r="N127">
        <f t="shared" si="3"/>
        <v>16</v>
      </c>
      <c r="Q127" s="2" t="s">
        <v>28</v>
      </c>
    </row>
    <row r="128" spans="1:18" ht="12.75" customHeight="1" x14ac:dyDescent="0.35">
      <c r="A128">
        <v>127</v>
      </c>
      <c r="B128" t="s">
        <v>473</v>
      </c>
      <c r="C128" t="s">
        <v>474</v>
      </c>
      <c r="D128" t="s">
        <v>475</v>
      </c>
      <c r="E128">
        <v>504351089</v>
      </c>
      <c r="F128" t="s">
        <v>21</v>
      </c>
      <c r="G128" t="s">
        <v>33</v>
      </c>
      <c r="H128" t="s">
        <v>223</v>
      </c>
      <c r="L128" s="3"/>
      <c r="M128" t="s">
        <v>86</v>
      </c>
      <c r="N128">
        <f t="shared" si="3"/>
        <v>16</v>
      </c>
      <c r="Q128" s="2" t="s">
        <v>28</v>
      </c>
    </row>
    <row r="129" spans="1:18" ht="12.75" customHeight="1" x14ac:dyDescent="0.35">
      <c r="A129">
        <v>128</v>
      </c>
      <c r="B129" t="s">
        <v>476</v>
      </c>
      <c r="C129" t="s">
        <v>477</v>
      </c>
      <c r="D129" t="s">
        <v>478</v>
      </c>
      <c r="E129">
        <v>555586186</v>
      </c>
      <c r="F129" t="s">
        <v>21</v>
      </c>
      <c r="G129" t="s">
        <v>33</v>
      </c>
      <c r="H129" t="s">
        <v>223</v>
      </c>
      <c r="L129" s="3"/>
      <c r="M129" t="s">
        <v>86</v>
      </c>
      <c r="N129">
        <f t="shared" si="3"/>
        <v>16</v>
      </c>
      <c r="Q129" s="2" t="s">
        <v>28</v>
      </c>
    </row>
    <row r="130" spans="1:18" ht="12.75" customHeight="1" x14ac:dyDescent="0.35">
      <c r="A130">
        <v>129</v>
      </c>
      <c r="B130" t="s">
        <v>479</v>
      </c>
      <c r="C130" t="s">
        <v>480</v>
      </c>
      <c r="D130" t="s">
        <v>481</v>
      </c>
      <c r="E130">
        <v>559250897</v>
      </c>
      <c r="F130" t="s">
        <v>21</v>
      </c>
      <c r="G130" t="s">
        <v>33</v>
      </c>
      <c r="H130" t="s">
        <v>223</v>
      </c>
      <c r="L130" s="3"/>
      <c r="M130" t="s">
        <v>86</v>
      </c>
      <c r="N130">
        <f t="shared" si="3"/>
        <v>16</v>
      </c>
      <c r="Q130" s="2" t="s">
        <v>28</v>
      </c>
    </row>
    <row r="131" spans="1:18" ht="12.75" customHeight="1" x14ac:dyDescent="0.35">
      <c r="A131">
        <v>130</v>
      </c>
      <c r="B131" t="s">
        <v>482</v>
      </c>
      <c r="C131" t="s">
        <v>483</v>
      </c>
      <c r="D131" t="s">
        <v>484</v>
      </c>
      <c r="E131">
        <v>504179719</v>
      </c>
      <c r="F131" t="s">
        <v>21</v>
      </c>
      <c r="G131" t="s">
        <v>33</v>
      </c>
      <c r="H131" t="s">
        <v>223</v>
      </c>
      <c r="L131" s="3"/>
      <c r="M131" t="s">
        <v>86</v>
      </c>
      <c r="N131">
        <f>IF(OR(ISNUMBER(SEARCH("معار",I131&amp;" "&amp;K131&amp;" "&amp;Q131)),ISNUMBER(SEARCH("مجاز",I131&amp;" "&amp;K131&amp;" "&amp;Q131)),ISNUMBER(SEARCH("مبتعث",I131&amp;" "&amp;K131&amp;" "&amp;Q131))),0,IF(M131="الحد الأدنى",3,IF(M131="50%",ROUND(IF(H131="استاذ",10,IF(H131="استاذ مشارك",12,IF(H131="استاذ مساعد",14,16)))/2,0),IF(H131="استاذ",10,IF(H131="استاذ مشارك",12,IF(H131="استاذ مساعد",14,16))))))</f>
        <v>16</v>
      </c>
      <c r="Q131" s="2" t="s">
        <v>28</v>
      </c>
    </row>
    <row r="132" spans="1:18" ht="12.75" customHeight="1" x14ac:dyDescent="0.35">
      <c r="A132">
        <v>131</v>
      </c>
      <c r="B132" t="s">
        <v>485</v>
      </c>
      <c r="C132" t="s">
        <v>486</v>
      </c>
      <c r="D132" t="s">
        <v>487</v>
      </c>
      <c r="E132">
        <v>543440035</v>
      </c>
      <c r="F132" t="s">
        <v>39</v>
      </c>
      <c r="G132" t="s">
        <v>33</v>
      </c>
      <c r="H132" t="s">
        <v>40</v>
      </c>
      <c r="I132" t="s">
        <v>179</v>
      </c>
      <c r="J132" t="s">
        <v>488</v>
      </c>
      <c r="L132" t="s">
        <v>181</v>
      </c>
      <c r="M132" t="s">
        <v>86</v>
      </c>
      <c r="N132">
        <f t="shared" ref="N132:N162" si="4">IF(OR(ISNUMBER(SEARCH("معار",I132&amp;" "&amp;K132&amp;" "&amp;Q132)),ISNUMBER(SEARCH("مجاز",I132&amp;" "&amp;K132&amp;" "&amp;Q132)),ISNUMBER(SEARCH("مبتعث",I132&amp;" "&amp;K132&amp;" "&amp;Q132))),0,IF(M132="الحد الأدنى",3,IF(M132="50%",ROUND(IF(H132="استاذ",10,IF(H132="استاذ مشارك",12,IF(H132="استاذ مساعد",14,16)))/2,0),IF(H132="استاذ",10,IF(H132="استاذ مشارك",12,IF(H132="استاذ مساعد",14,16))))))</f>
        <v>14</v>
      </c>
      <c r="Q132" s="2" t="s">
        <v>28</v>
      </c>
    </row>
    <row r="133" spans="1:18" ht="12.75" customHeight="1" x14ac:dyDescent="0.35">
      <c r="A133">
        <v>132</v>
      </c>
      <c r="B133" t="s">
        <v>489</v>
      </c>
      <c r="C133" t="s">
        <v>490</v>
      </c>
      <c r="D133" t="s">
        <v>491</v>
      </c>
      <c r="E133">
        <v>509453433</v>
      </c>
      <c r="F133" t="s">
        <v>39</v>
      </c>
      <c r="G133" t="s">
        <v>33</v>
      </c>
      <c r="H133" t="s">
        <v>40</v>
      </c>
      <c r="L133" s="3"/>
      <c r="M133" t="s">
        <v>86</v>
      </c>
      <c r="N133">
        <f t="shared" si="4"/>
        <v>14</v>
      </c>
      <c r="Q133" s="2" t="s">
        <v>100</v>
      </c>
      <c r="R133" t="s">
        <v>101</v>
      </c>
    </row>
    <row r="134" spans="1:18" ht="12.75" customHeight="1" x14ac:dyDescent="0.35">
      <c r="A134">
        <v>133</v>
      </c>
      <c r="B134" t="s">
        <v>492</v>
      </c>
      <c r="C134" t="s">
        <v>493</v>
      </c>
      <c r="D134" t="s">
        <v>494</v>
      </c>
      <c r="E134">
        <v>562458533</v>
      </c>
      <c r="F134" t="s">
        <v>39</v>
      </c>
      <c r="G134" t="s">
        <v>33</v>
      </c>
      <c r="H134" t="s">
        <v>40</v>
      </c>
      <c r="L134" s="3"/>
      <c r="M134" t="s">
        <v>86</v>
      </c>
      <c r="N134">
        <f t="shared" si="4"/>
        <v>14</v>
      </c>
      <c r="Q134" s="2" t="s">
        <v>100</v>
      </c>
      <c r="R134" t="s">
        <v>101</v>
      </c>
    </row>
    <row r="135" spans="1:18" ht="12.75" customHeight="1" x14ac:dyDescent="0.35">
      <c r="A135">
        <v>134</v>
      </c>
      <c r="B135" t="s">
        <v>495</v>
      </c>
      <c r="C135" t="s">
        <v>496</v>
      </c>
      <c r="D135" t="s">
        <v>497</v>
      </c>
      <c r="E135">
        <v>551935162</v>
      </c>
      <c r="F135" t="s">
        <v>39</v>
      </c>
      <c r="G135" t="s">
        <v>33</v>
      </c>
      <c r="H135" t="s">
        <v>223</v>
      </c>
      <c r="L135" s="3"/>
      <c r="M135" t="s">
        <v>86</v>
      </c>
      <c r="N135">
        <f t="shared" si="4"/>
        <v>16</v>
      </c>
      <c r="Q135" s="2" t="s">
        <v>28</v>
      </c>
    </row>
    <row r="136" spans="1:18" ht="12.75" customHeight="1" x14ac:dyDescent="0.35">
      <c r="A136">
        <v>135</v>
      </c>
      <c r="B136" t="s">
        <v>498</v>
      </c>
      <c r="C136" t="s">
        <v>499</v>
      </c>
      <c r="D136" t="s">
        <v>500</v>
      </c>
      <c r="E136" t="s">
        <v>374</v>
      </c>
      <c r="F136" t="s">
        <v>39</v>
      </c>
      <c r="G136" t="s">
        <v>33</v>
      </c>
      <c r="H136" t="s">
        <v>223</v>
      </c>
      <c r="L136" s="3"/>
      <c r="M136" t="s">
        <v>86</v>
      </c>
      <c r="N136">
        <f t="shared" si="4"/>
        <v>16</v>
      </c>
      <c r="Q136" s="2" t="s">
        <v>28</v>
      </c>
    </row>
    <row r="137" spans="1:18" ht="12.75" customHeight="1" x14ac:dyDescent="0.35">
      <c r="A137">
        <v>136</v>
      </c>
      <c r="B137" t="s">
        <v>501</v>
      </c>
      <c r="C137" t="s">
        <v>502</v>
      </c>
      <c r="D137" t="s">
        <v>503</v>
      </c>
      <c r="E137">
        <v>569782271</v>
      </c>
      <c r="F137" t="s">
        <v>39</v>
      </c>
      <c r="G137" t="s">
        <v>33</v>
      </c>
      <c r="H137" t="s">
        <v>223</v>
      </c>
      <c r="L137" s="3"/>
      <c r="M137" t="s">
        <v>86</v>
      </c>
      <c r="N137">
        <f t="shared" si="4"/>
        <v>16</v>
      </c>
      <c r="Q137" s="2" t="s">
        <v>28</v>
      </c>
    </row>
    <row r="138" spans="1:18" ht="12.75" customHeight="1" x14ac:dyDescent="0.35">
      <c r="A138">
        <v>137</v>
      </c>
      <c r="B138" t="s">
        <v>504</v>
      </c>
      <c r="C138" t="s">
        <v>505</v>
      </c>
      <c r="D138" t="s">
        <v>506</v>
      </c>
      <c r="E138">
        <v>5404010677</v>
      </c>
      <c r="F138" t="s">
        <v>39</v>
      </c>
      <c r="G138" t="s">
        <v>33</v>
      </c>
      <c r="H138" t="s">
        <v>223</v>
      </c>
      <c r="L138" s="3"/>
      <c r="M138" t="s">
        <v>86</v>
      </c>
      <c r="N138">
        <f t="shared" si="4"/>
        <v>16</v>
      </c>
      <c r="Q138" s="2" t="s">
        <v>28</v>
      </c>
    </row>
    <row r="139" spans="1:18" ht="12.75" customHeight="1" x14ac:dyDescent="0.35">
      <c r="A139">
        <v>138</v>
      </c>
      <c r="B139" t="s">
        <v>507</v>
      </c>
      <c r="C139" t="s">
        <v>508</v>
      </c>
      <c r="D139" t="s">
        <v>509</v>
      </c>
      <c r="E139">
        <v>551133280</v>
      </c>
      <c r="F139" t="s">
        <v>32</v>
      </c>
      <c r="G139" t="s">
        <v>33</v>
      </c>
      <c r="H139" t="s">
        <v>23</v>
      </c>
      <c r="L139" s="3"/>
      <c r="M139" t="s">
        <v>86</v>
      </c>
      <c r="N139">
        <f t="shared" si="4"/>
        <v>12</v>
      </c>
      <c r="Q139" s="2" t="s">
        <v>28</v>
      </c>
    </row>
    <row r="140" spans="1:18" ht="12.75" customHeight="1" x14ac:dyDescent="0.35">
      <c r="A140">
        <v>139</v>
      </c>
      <c r="B140" t="s">
        <v>510</v>
      </c>
      <c r="C140" t="s">
        <v>511</v>
      </c>
      <c r="D140" t="s">
        <v>512</v>
      </c>
      <c r="E140">
        <v>558856620</v>
      </c>
      <c r="F140" t="s">
        <v>32</v>
      </c>
      <c r="G140" t="s">
        <v>33</v>
      </c>
      <c r="H140" t="s">
        <v>23</v>
      </c>
      <c r="L140" s="3"/>
      <c r="M140" t="s">
        <v>86</v>
      </c>
      <c r="N140">
        <f t="shared" si="4"/>
        <v>12</v>
      </c>
      <c r="Q140" s="2" t="s">
        <v>28</v>
      </c>
    </row>
    <row r="141" spans="1:18" ht="12.75" customHeight="1" x14ac:dyDescent="0.35">
      <c r="A141">
        <v>140</v>
      </c>
      <c r="B141" t="s">
        <v>513</v>
      </c>
      <c r="C141" t="s">
        <v>514</v>
      </c>
      <c r="D141" t="s">
        <v>515</v>
      </c>
      <c r="E141">
        <v>553422477</v>
      </c>
      <c r="F141" t="s">
        <v>32</v>
      </c>
      <c r="G141" t="s">
        <v>33</v>
      </c>
      <c r="H141" t="s">
        <v>40</v>
      </c>
      <c r="L141" s="3"/>
      <c r="M141" t="s">
        <v>86</v>
      </c>
      <c r="N141">
        <f t="shared" si="4"/>
        <v>14</v>
      </c>
      <c r="Q141" s="2" t="s">
        <v>28</v>
      </c>
    </row>
    <row r="142" spans="1:18" ht="12.75" customHeight="1" x14ac:dyDescent="0.35">
      <c r="A142">
        <v>141</v>
      </c>
      <c r="B142" t="s">
        <v>516</v>
      </c>
      <c r="C142" t="s">
        <v>517</v>
      </c>
      <c r="D142" t="s">
        <v>518</v>
      </c>
      <c r="E142">
        <v>551742143</v>
      </c>
      <c r="F142" t="s">
        <v>32</v>
      </c>
      <c r="G142" t="s">
        <v>33</v>
      </c>
      <c r="H142" t="s">
        <v>40</v>
      </c>
      <c r="L142" s="3"/>
      <c r="M142" t="s">
        <v>86</v>
      </c>
      <c r="N142">
        <f t="shared" si="4"/>
        <v>14</v>
      </c>
      <c r="Q142" s="2" t="s">
        <v>100</v>
      </c>
      <c r="R142" t="s">
        <v>101</v>
      </c>
    </row>
    <row r="143" spans="1:18" ht="12.75" customHeight="1" x14ac:dyDescent="0.35">
      <c r="A143">
        <v>142</v>
      </c>
      <c r="B143" t="s">
        <v>519</v>
      </c>
      <c r="C143" t="s">
        <v>520</v>
      </c>
      <c r="D143" t="s">
        <v>521</v>
      </c>
      <c r="E143">
        <v>544780511</v>
      </c>
      <c r="F143" t="s">
        <v>32</v>
      </c>
      <c r="G143" t="s">
        <v>33</v>
      </c>
      <c r="H143" t="s">
        <v>40</v>
      </c>
      <c r="L143" s="3"/>
      <c r="M143" t="s">
        <v>86</v>
      </c>
      <c r="N143">
        <f t="shared" si="4"/>
        <v>14</v>
      </c>
      <c r="Q143" s="2" t="s">
        <v>522</v>
      </c>
      <c r="R143" t="s">
        <v>523</v>
      </c>
    </row>
    <row r="144" spans="1:18" ht="12.75" customHeight="1" x14ac:dyDescent="0.35">
      <c r="A144">
        <v>143</v>
      </c>
      <c r="B144" t="s">
        <v>524</v>
      </c>
      <c r="C144" t="s">
        <v>525</v>
      </c>
      <c r="D144" t="s">
        <v>526</v>
      </c>
      <c r="E144">
        <v>531064035</v>
      </c>
      <c r="F144" t="s">
        <v>32</v>
      </c>
      <c r="G144" t="s">
        <v>33</v>
      </c>
      <c r="H144" t="s">
        <v>40</v>
      </c>
      <c r="L144" s="3"/>
      <c r="M144" t="s">
        <v>86</v>
      </c>
      <c r="N144">
        <f t="shared" si="4"/>
        <v>14</v>
      </c>
      <c r="Q144" s="2" t="s">
        <v>100</v>
      </c>
      <c r="R144" t="s">
        <v>101</v>
      </c>
    </row>
    <row r="145" spans="1:18" ht="12.75" customHeight="1" x14ac:dyDescent="0.35">
      <c r="A145">
        <v>144</v>
      </c>
      <c r="B145" t="s">
        <v>527</v>
      </c>
      <c r="C145" t="s">
        <v>528</v>
      </c>
      <c r="D145" t="s">
        <v>529</v>
      </c>
      <c r="E145">
        <v>540397707</v>
      </c>
      <c r="F145" t="s">
        <v>67</v>
      </c>
      <c r="G145" t="s">
        <v>33</v>
      </c>
      <c r="H145" t="s">
        <v>40</v>
      </c>
      <c r="L145" s="3"/>
      <c r="M145" t="s">
        <v>86</v>
      </c>
      <c r="N145">
        <f t="shared" si="4"/>
        <v>14</v>
      </c>
      <c r="Q145" s="2" t="s">
        <v>100</v>
      </c>
      <c r="R145" t="s">
        <v>101</v>
      </c>
    </row>
    <row r="146" spans="1:18" ht="12.75" customHeight="1" x14ac:dyDescent="0.35">
      <c r="A146">
        <v>145</v>
      </c>
      <c r="B146" t="s">
        <v>530</v>
      </c>
      <c r="C146" t="s">
        <v>531</v>
      </c>
      <c r="D146" t="s">
        <v>532</v>
      </c>
      <c r="E146">
        <v>550328816</v>
      </c>
      <c r="F146" t="s">
        <v>32</v>
      </c>
      <c r="G146" t="s">
        <v>33</v>
      </c>
      <c r="H146" t="s">
        <v>40</v>
      </c>
      <c r="I146" t="s">
        <v>179</v>
      </c>
      <c r="J146" t="s">
        <v>533</v>
      </c>
      <c r="L146" t="s">
        <v>181</v>
      </c>
      <c r="M146" t="s">
        <v>86</v>
      </c>
      <c r="N146">
        <f t="shared" si="4"/>
        <v>14</v>
      </c>
      <c r="Q146" s="2" t="s">
        <v>100</v>
      </c>
      <c r="R146" t="s">
        <v>101</v>
      </c>
    </row>
    <row r="147" spans="1:18" ht="12.75" customHeight="1" x14ac:dyDescent="0.35">
      <c r="A147">
        <v>146</v>
      </c>
      <c r="B147" t="s">
        <v>534</v>
      </c>
      <c r="C147" t="s">
        <v>535</v>
      </c>
      <c r="D147" t="s">
        <v>536</v>
      </c>
      <c r="E147">
        <v>552038608</v>
      </c>
      <c r="F147" t="s">
        <v>32</v>
      </c>
      <c r="G147" t="s">
        <v>33</v>
      </c>
      <c r="H147" t="s">
        <v>40</v>
      </c>
      <c r="L147" s="3"/>
      <c r="M147" t="s">
        <v>86</v>
      </c>
      <c r="N147">
        <f t="shared" si="4"/>
        <v>14</v>
      </c>
      <c r="Q147" s="2" t="s">
        <v>100</v>
      </c>
      <c r="R147" t="s">
        <v>101</v>
      </c>
    </row>
    <row r="148" spans="1:18" ht="12.75" customHeight="1" x14ac:dyDescent="0.35">
      <c r="A148">
        <v>147</v>
      </c>
      <c r="B148" t="s">
        <v>537</v>
      </c>
      <c r="C148" t="s">
        <v>538</v>
      </c>
      <c r="D148" t="s">
        <v>539</v>
      </c>
      <c r="E148">
        <v>536610064</v>
      </c>
      <c r="F148" t="s">
        <v>32</v>
      </c>
      <c r="G148" t="s">
        <v>33</v>
      </c>
      <c r="H148" t="s">
        <v>223</v>
      </c>
      <c r="L148" s="3"/>
      <c r="M148" t="s">
        <v>86</v>
      </c>
      <c r="N148">
        <f t="shared" si="4"/>
        <v>16</v>
      </c>
      <c r="Q148" s="2" t="s">
        <v>28</v>
      </c>
    </row>
    <row r="149" spans="1:18" ht="12.75" customHeight="1" x14ac:dyDescent="0.35">
      <c r="A149">
        <v>148</v>
      </c>
      <c r="B149" t="s">
        <v>540</v>
      </c>
      <c r="C149" t="s">
        <v>541</v>
      </c>
      <c r="D149" t="s">
        <v>542</v>
      </c>
      <c r="E149">
        <v>545197924</v>
      </c>
      <c r="F149" t="s">
        <v>32</v>
      </c>
      <c r="G149" t="s">
        <v>33</v>
      </c>
      <c r="H149" t="s">
        <v>223</v>
      </c>
      <c r="L149" s="3"/>
      <c r="M149" t="s">
        <v>86</v>
      </c>
      <c r="N149">
        <f t="shared" si="4"/>
        <v>16</v>
      </c>
      <c r="Q149" s="2" t="s">
        <v>28</v>
      </c>
    </row>
    <row r="150" spans="1:18" ht="12.75" customHeight="1" x14ac:dyDescent="0.35">
      <c r="A150">
        <v>149</v>
      </c>
      <c r="B150" t="s">
        <v>543</v>
      </c>
      <c r="C150" t="s">
        <v>544</v>
      </c>
      <c r="D150" t="s">
        <v>545</v>
      </c>
      <c r="E150" t="s">
        <v>374</v>
      </c>
      <c r="F150" t="s">
        <v>32</v>
      </c>
      <c r="G150" t="s">
        <v>33</v>
      </c>
      <c r="H150" t="s">
        <v>223</v>
      </c>
      <c r="L150" s="3"/>
      <c r="M150" t="s">
        <v>86</v>
      </c>
      <c r="N150">
        <f t="shared" si="4"/>
        <v>16</v>
      </c>
      <c r="Q150" s="2" t="s">
        <v>28</v>
      </c>
    </row>
    <row r="151" spans="1:18" ht="12.75" customHeight="1" x14ac:dyDescent="0.35">
      <c r="A151">
        <v>150</v>
      </c>
      <c r="B151" t="s">
        <v>546</v>
      </c>
      <c r="C151" t="s">
        <v>547</v>
      </c>
      <c r="D151" t="s">
        <v>548</v>
      </c>
      <c r="E151">
        <v>531177975</v>
      </c>
      <c r="F151" t="s">
        <v>32</v>
      </c>
      <c r="G151" t="s">
        <v>33</v>
      </c>
      <c r="H151" t="s">
        <v>223</v>
      </c>
      <c r="L151" s="3"/>
      <c r="M151" t="s">
        <v>86</v>
      </c>
      <c r="N151">
        <f t="shared" si="4"/>
        <v>16</v>
      </c>
      <c r="Q151" s="2" t="s">
        <v>28</v>
      </c>
    </row>
    <row r="152" spans="1:18" ht="12.75" customHeight="1" x14ac:dyDescent="0.35">
      <c r="A152">
        <v>151</v>
      </c>
      <c r="B152" t="s">
        <v>549</v>
      </c>
      <c r="C152" t="s">
        <v>550</v>
      </c>
      <c r="D152" t="s">
        <v>551</v>
      </c>
      <c r="E152">
        <v>554631779</v>
      </c>
      <c r="F152" t="s">
        <v>48</v>
      </c>
      <c r="G152" t="s">
        <v>33</v>
      </c>
      <c r="H152" t="s">
        <v>23</v>
      </c>
      <c r="L152" s="3"/>
      <c r="M152" t="s">
        <v>86</v>
      </c>
      <c r="N152">
        <f t="shared" si="4"/>
        <v>12</v>
      </c>
      <c r="Q152" s="2" t="s">
        <v>28</v>
      </c>
    </row>
    <row r="153" spans="1:18" ht="12.75" customHeight="1" x14ac:dyDescent="0.35">
      <c r="A153">
        <v>152</v>
      </c>
      <c r="B153" t="s">
        <v>552</v>
      </c>
      <c r="C153" t="s">
        <v>553</v>
      </c>
      <c r="D153" t="s">
        <v>554</v>
      </c>
      <c r="E153">
        <v>555791672</v>
      </c>
      <c r="F153" t="s">
        <v>48</v>
      </c>
      <c r="G153" t="s">
        <v>33</v>
      </c>
      <c r="H153" t="s">
        <v>23</v>
      </c>
      <c r="L153" s="3"/>
      <c r="M153" t="s">
        <v>86</v>
      </c>
      <c r="N153">
        <f t="shared" si="4"/>
        <v>12</v>
      </c>
      <c r="Q153" s="2" t="s">
        <v>28</v>
      </c>
    </row>
    <row r="154" spans="1:18" ht="12.75" customHeight="1" x14ac:dyDescent="0.35">
      <c r="A154">
        <v>153</v>
      </c>
      <c r="B154" t="s">
        <v>555</v>
      </c>
      <c r="C154" t="s">
        <v>556</v>
      </c>
      <c r="D154" t="s">
        <v>557</v>
      </c>
      <c r="E154">
        <v>506710380</v>
      </c>
      <c r="F154" t="s">
        <v>48</v>
      </c>
      <c r="G154" t="s">
        <v>33</v>
      </c>
      <c r="H154" t="s">
        <v>23</v>
      </c>
      <c r="L154" s="3"/>
      <c r="M154" t="s">
        <v>86</v>
      </c>
      <c r="N154">
        <f t="shared" si="4"/>
        <v>12</v>
      </c>
      <c r="Q154" s="2" t="s">
        <v>28</v>
      </c>
    </row>
    <row r="155" spans="1:18" ht="12.75" customHeight="1" x14ac:dyDescent="0.35">
      <c r="A155">
        <v>154</v>
      </c>
      <c r="B155" t="s">
        <v>558</v>
      </c>
      <c r="C155" t="s">
        <v>559</v>
      </c>
      <c r="D155" t="s">
        <v>560</v>
      </c>
      <c r="E155">
        <v>590588738</v>
      </c>
      <c r="F155" t="s">
        <v>48</v>
      </c>
      <c r="G155" t="s">
        <v>33</v>
      </c>
      <c r="H155" t="s">
        <v>40</v>
      </c>
      <c r="L155" s="3"/>
      <c r="M155" t="s">
        <v>86</v>
      </c>
      <c r="N155">
        <f t="shared" si="4"/>
        <v>14</v>
      </c>
      <c r="Q155" s="2" t="s">
        <v>28</v>
      </c>
    </row>
    <row r="156" spans="1:18" ht="12.75" customHeight="1" x14ac:dyDescent="0.35">
      <c r="A156">
        <v>155</v>
      </c>
      <c r="B156" t="s">
        <v>561</v>
      </c>
      <c r="C156" t="s">
        <v>562</v>
      </c>
      <c r="D156" t="s">
        <v>563</v>
      </c>
      <c r="E156">
        <v>541474416</v>
      </c>
      <c r="F156" t="s">
        <v>48</v>
      </c>
      <c r="G156" t="s">
        <v>33</v>
      </c>
      <c r="H156" t="s">
        <v>40</v>
      </c>
      <c r="L156" s="3"/>
      <c r="M156" t="s">
        <v>86</v>
      </c>
      <c r="N156">
        <f t="shared" si="4"/>
        <v>14</v>
      </c>
      <c r="Q156" s="2" t="s">
        <v>28</v>
      </c>
    </row>
    <row r="157" spans="1:18" ht="12.75" customHeight="1" x14ac:dyDescent="0.35">
      <c r="A157">
        <v>156</v>
      </c>
      <c r="B157" t="s">
        <v>564</v>
      </c>
      <c r="C157" t="s">
        <v>565</v>
      </c>
      <c r="D157" t="s">
        <v>566</v>
      </c>
      <c r="E157">
        <v>562224204</v>
      </c>
      <c r="F157" t="s">
        <v>48</v>
      </c>
      <c r="G157" t="s">
        <v>33</v>
      </c>
      <c r="H157" t="s">
        <v>40</v>
      </c>
      <c r="L157" s="3"/>
      <c r="M157" t="s">
        <v>86</v>
      </c>
      <c r="N157">
        <f t="shared" si="4"/>
        <v>14</v>
      </c>
      <c r="Q157" s="2" t="s">
        <v>28</v>
      </c>
    </row>
    <row r="158" spans="1:18" ht="12.75" customHeight="1" x14ac:dyDescent="0.35">
      <c r="A158">
        <v>157</v>
      </c>
      <c r="B158" t="s">
        <v>567</v>
      </c>
      <c r="C158" t="s">
        <v>568</v>
      </c>
      <c r="D158" t="s">
        <v>569</v>
      </c>
      <c r="E158">
        <v>500454812</v>
      </c>
      <c r="F158" t="s">
        <v>48</v>
      </c>
      <c r="G158" t="s">
        <v>33</v>
      </c>
      <c r="H158" t="s">
        <v>40</v>
      </c>
      <c r="L158" s="3"/>
      <c r="M158" t="s">
        <v>86</v>
      </c>
      <c r="N158">
        <f t="shared" si="4"/>
        <v>14</v>
      </c>
      <c r="Q158" s="2" t="s">
        <v>28</v>
      </c>
    </row>
    <row r="159" spans="1:18" ht="12.75" customHeight="1" x14ac:dyDescent="0.35">
      <c r="A159">
        <v>158</v>
      </c>
      <c r="B159" t="s">
        <v>570</v>
      </c>
      <c r="C159" t="s">
        <v>571</v>
      </c>
      <c r="D159" t="s">
        <v>572</v>
      </c>
      <c r="E159">
        <v>568333393</v>
      </c>
      <c r="F159" t="s">
        <v>48</v>
      </c>
      <c r="G159" t="s">
        <v>33</v>
      </c>
      <c r="H159" t="s">
        <v>40</v>
      </c>
      <c r="L159" s="3"/>
      <c r="M159" t="s">
        <v>86</v>
      </c>
      <c r="N159">
        <f t="shared" si="4"/>
        <v>14</v>
      </c>
      <c r="Q159" s="2" t="s">
        <v>28</v>
      </c>
    </row>
    <row r="160" spans="1:18" ht="12.75" customHeight="1" x14ac:dyDescent="0.35">
      <c r="A160">
        <v>159</v>
      </c>
      <c r="B160" t="s">
        <v>573</v>
      </c>
      <c r="C160" t="s">
        <v>574</v>
      </c>
      <c r="D160" t="s">
        <v>575</v>
      </c>
      <c r="E160">
        <v>563280233</v>
      </c>
      <c r="F160" t="s">
        <v>48</v>
      </c>
      <c r="G160" t="s">
        <v>33</v>
      </c>
      <c r="H160" t="s">
        <v>40</v>
      </c>
      <c r="L160" s="3"/>
      <c r="M160" t="s">
        <v>86</v>
      </c>
      <c r="N160">
        <f t="shared" si="4"/>
        <v>14</v>
      </c>
      <c r="Q160" s="2" t="s">
        <v>28</v>
      </c>
    </row>
    <row r="161" spans="1:17" ht="12.75" customHeight="1" x14ac:dyDescent="0.35">
      <c r="A161">
        <v>160</v>
      </c>
      <c r="B161" t="s">
        <v>576</v>
      </c>
      <c r="C161" t="s">
        <v>577</v>
      </c>
      <c r="D161" t="s">
        <v>578</v>
      </c>
      <c r="E161">
        <v>533330716</v>
      </c>
      <c r="F161" t="s">
        <v>48</v>
      </c>
      <c r="G161" t="s">
        <v>33</v>
      </c>
      <c r="H161" t="s">
        <v>223</v>
      </c>
      <c r="I161" t="s">
        <v>179</v>
      </c>
      <c r="J161" t="s">
        <v>579</v>
      </c>
      <c r="L161" t="s">
        <v>181</v>
      </c>
      <c r="M161" t="s">
        <v>86</v>
      </c>
      <c r="N161">
        <f t="shared" si="4"/>
        <v>16</v>
      </c>
      <c r="Q161" s="2" t="s">
        <v>28</v>
      </c>
    </row>
    <row r="162" spans="1:17" ht="12.75" customHeight="1" x14ac:dyDescent="0.35">
      <c r="A162">
        <v>161</v>
      </c>
      <c r="B162" t="s">
        <v>580</v>
      </c>
      <c r="C162" t="s">
        <v>581</v>
      </c>
      <c r="D162" t="s">
        <v>582</v>
      </c>
      <c r="E162" t="s">
        <v>374</v>
      </c>
      <c r="F162" t="s">
        <v>48</v>
      </c>
      <c r="G162" t="s">
        <v>33</v>
      </c>
      <c r="H162" t="s">
        <v>223</v>
      </c>
      <c r="L162" s="3"/>
      <c r="M162" t="s">
        <v>86</v>
      </c>
      <c r="N162">
        <f t="shared" si="4"/>
        <v>16</v>
      </c>
      <c r="Q162" s="2" t="s">
        <v>28</v>
      </c>
    </row>
    <row r="163" spans="1:17" ht="12.75" customHeight="1" x14ac:dyDescent="0.35">
      <c r="A163">
        <v>162</v>
      </c>
      <c r="B163" t="s">
        <v>583</v>
      </c>
      <c r="C163" t="s">
        <v>584</v>
      </c>
      <c r="D163" t="s">
        <v>585</v>
      </c>
      <c r="E163" t="s">
        <v>374</v>
      </c>
      <c r="F163" t="s">
        <v>48</v>
      </c>
      <c r="G163" t="s">
        <v>33</v>
      </c>
      <c r="H163" t="s">
        <v>223</v>
      </c>
      <c r="L163" s="3"/>
      <c r="M163" t="s">
        <v>86</v>
      </c>
      <c r="N163">
        <f>IF(OR(ISNUMBER(SEARCH("معار",I163&amp;" "&amp;K163&amp;" "&amp;Q163)),ISNUMBER(SEARCH("مجاز",I163&amp;" "&amp;K163&amp;" "&amp;Q163)),ISNUMBER(SEARCH("مبتعث",I163&amp;" "&amp;K163&amp;" "&amp;Q163))),0,IF(M163="الحد الأدنى",3,IF(M163="50%",ROUND(IF(H163="استاذ",10,IF(H163="استاذ مشارك",12,IF(H163="استاذ مساعد",14,16)))/2,0),IF(H163="استاذ",10,IF(H163="استاذ مشارك",12,IF(H163="استاذ مساعد",14,16))))))</f>
        <v>16</v>
      </c>
      <c r="Q163" s="2" t="s">
        <v>28</v>
      </c>
    </row>
  </sheetData>
  <dataValidations count="4">
    <dataValidation type="list" allowBlank="1" showInputMessage="1" showErrorMessage="1" sqref="F2:F213" xr:uid="{00000000-0002-0000-0000-000000000000}">
      <formula1>"قسم الادارة,قسم المحاسبة,قسم التسويق,قسم الاقتصاد و التمويل,قسم نظم المعلومات الادارية,عمادة الكلية / جهة إدارية عامة"</formula1>
    </dataValidation>
    <dataValidation type="list" allowBlank="1" showInputMessage="1" showErrorMessage="1" sqref="G2:G213" xr:uid="{00000000-0002-0000-0000-000001000000}">
      <formula1>"طلاب,طالبات,لا ينطبق"</formula1>
    </dataValidation>
    <dataValidation type="list" errorStyle="information" allowBlank="1" showInputMessage="1" showErrorMessage="1" sqref="L164:L213" xr:uid="{00000000-0002-0000-0000-000002000000}">
      <formula1>"3 ساعات,50%"</formula1>
    </dataValidation>
    <dataValidation type="list" errorStyle="information" allowBlank="1" showInputMessage="1" showErrorMessage="1" sqref="L2:L163" xr:uid="{490BDD1F-E899-409B-880C-12EE58BCC969}">
      <formula1>"3 ساعات,50%,معفي من الارشاد,25%,حالات خاصة"</formula1>
    </dataValidation>
  </dataValidations>
  <hyperlinks>
    <hyperlink ref="D2" r:id="rId1" xr:uid="{00000000-0004-0000-0000-000000000000}"/>
  </hyperlinks>
  <pageMargins left="0.7" right="0.7" top="0.75" bottom="0.75" header="0.3" footer="0.3"/>
  <pageSetup orientation="portrait"/>
  <headerFooter>
    <oddHeader>&amp;Amp;Amp;Amp;Amp;C&amp;Amp;Amp;Amp;Amp;&amp;Amp;Amp;Amp;quot;Aptos&amp;Amp;Amp;Amp;quot;&amp;Amp;Amp;Amp;Amp;1 &amp;Amp;Amp;Amp;Amp;KFFFF00 مقيد | Restricted#_x000D_&amp;Amp;Amp;Amp;Amp;G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rightToLeft="1" workbookViewId="0"/>
  </sheetViews>
  <sheetFormatPr defaultColWidth="20" defaultRowHeight="12.75" x14ac:dyDescent="0.35"/>
  <cols>
    <col min="1" max="1" width="6.265625" bestFit="1" customWidth="1"/>
    <col min="2" max="2" width="11.1328125" bestFit="1" customWidth="1"/>
    <col min="3" max="3" width="24.1328125" bestFit="1" customWidth="1"/>
    <col min="4" max="4" width="20" bestFit="1" customWidth="1"/>
    <col min="5" max="5" width="25.265625" bestFit="1" customWidth="1"/>
    <col min="6" max="6" width="15.3984375" bestFit="1" customWidth="1"/>
    <col min="7" max="7" width="35.73046875" bestFit="1" customWidth="1"/>
    <col min="8" max="8" width="42" bestFit="1" customWidth="1"/>
    <col min="9" max="9" width="29.265625" bestFit="1" customWidth="1"/>
    <col min="10" max="10" width="26.86328125" bestFit="1" customWidth="1"/>
    <col min="11" max="11" width="10.1328125" bestFit="1" customWidth="1"/>
    <col min="12" max="12" width="42" bestFit="1" customWidth="1"/>
    <col min="13" max="13" width="20" bestFit="1" customWidth="1"/>
  </cols>
  <sheetData>
    <row r="1" spans="1:13" ht="13.15" customHeight="1" x14ac:dyDescent="0.4">
      <c r="A1" s="1" t="s">
        <v>0</v>
      </c>
      <c r="B1" s="1" t="s">
        <v>1</v>
      </c>
      <c r="C1" s="1" t="s">
        <v>2</v>
      </c>
      <c r="D1" s="1" t="s">
        <v>6</v>
      </c>
      <c r="E1" s="1" t="s">
        <v>3</v>
      </c>
      <c r="F1" s="1" t="s">
        <v>4</v>
      </c>
      <c r="G1" s="1" t="s">
        <v>586</v>
      </c>
      <c r="H1" s="1" t="s">
        <v>587</v>
      </c>
      <c r="I1" s="1" t="s">
        <v>588</v>
      </c>
      <c r="J1" s="1" t="s">
        <v>589</v>
      </c>
      <c r="K1" s="1" t="s">
        <v>14</v>
      </c>
      <c r="L1" s="1" t="s">
        <v>590</v>
      </c>
      <c r="M1" s="1" t="s">
        <v>16</v>
      </c>
    </row>
    <row r="2" spans="1:13" x14ac:dyDescent="0.35">
      <c r="A2">
        <v>1</v>
      </c>
      <c r="B2">
        <v>4330128</v>
      </c>
      <c r="C2" t="s">
        <v>591</v>
      </c>
      <c r="D2" t="s">
        <v>33</v>
      </c>
      <c r="E2" t="s">
        <v>592</v>
      </c>
      <c r="F2">
        <v>533551020</v>
      </c>
      <c r="G2" t="s">
        <v>593</v>
      </c>
      <c r="H2" t="s">
        <v>594</v>
      </c>
      <c r="M2" s="2" t="s">
        <v>595</v>
      </c>
    </row>
    <row r="3" spans="1:13" x14ac:dyDescent="0.35">
      <c r="A3">
        <v>2</v>
      </c>
      <c r="B3">
        <v>4280166</v>
      </c>
      <c r="C3" t="s">
        <v>596</v>
      </c>
      <c r="D3" t="s">
        <v>22</v>
      </c>
      <c r="E3" t="s">
        <v>597</v>
      </c>
      <c r="F3">
        <v>545549666</v>
      </c>
      <c r="G3" t="s">
        <v>598</v>
      </c>
      <c r="H3" t="s">
        <v>599</v>
      </c>
      <c r="K3">
        <v>23</v>
      </c>
      <c r="M3" s="2" t="s">
        <v>595</v>
      </c>
    </row>
    <row r="4" spans="1:13" x14ac:dyDescent="0.35">
      <c r="A4">
        <v>3</v>
      </c>
      <c r="B4">
        <v>4280485</v>
      </c>
      <c r="C4" t="s">
        <v>600</v>
      </c>
      <c r="D4" t="s">
        <v>22</v>
      </c>
      <c r="E4" t="s">
        <v>601</v>
      </c>
      <c r="F4">
        <v>506036051</v>
      </c>
      <c r="G4" t="s">
        <v>602</v>
      </c>
      <c r="H4" t="s">
        <v>602</v>
      </c>
      <c r="K4">
        <v>38</v>
      </c>
      <c r="M4" s="2" t="s">
        <v>595</v>
      </c>
    </row>
    <row r="5" spans="1:13" x14ac:dyDescent="0.35">
      <c r="A5">
        <v>4</v>
      </c>
      <c r="B5">
        <v>4280921</v>
      </c>
      <c r="C5" t="s">
        <v>603</v>
      </c>
      <c r="D5" t="s">
        <v>22</v>
      </c>
      <c r="E5" t="s">
        <v>604</v>
      </c>
      <c r="F5">
        <v>555598847</v>
      </c>
      <c r="G5" t="s">
        <v>605</v>
      </c>
      <c r="H5" t="s">
        <v>606</v>
      </c>
      <c r="K5">
        <v>42</v>
      </c>
      <c r="M5" s="2" t="s">
        <v>595</v>
      </c>
    </row>
    <row r="6" spans="1:13" x14ac:dyDescent="0.35">
      <c r="A6">
        <v>5</v>
      </c>
      <c r="B6">
        <v>4300107</v>
      </c>
      <c r="C6" t="s">
        <v>607</v>
      </c>
      <c r="D6" t="s">
        <v>22</v>
      </c>
      <c r="E6" t="s">
        <v>608</v>
      </c>
      <c r="F6" t="s">
        <v>609</v>
      </c>
      <c r="G6" t="s">
        <v>593</v>
      </c>
      <c r="H6" t="s">
        <v>610</v>
      </c>
      <c r="M6" s="2" t="s">
        <v>595</v>
      </c>
    </row>
    <row r="7" spans="1:13" x14ac:dyDescent="0.35">
      <c r="A7">
        <v>6</v>
      </c>
      <c r="B7">
        <v>4300355</v>
      </c>
      <c r="C7" t="s">
        <v>611</v>
      </c>
      <c r="D7" t="s">
        <v>22</v>
      </c>
      <c r="E7" t="s">
        <v>612</v>
      </c>
      <c r="F7">
        <v>545191566</v>
      </c>
      <c r="G7" t="s">
        <v>613</v>
      </c>
      <c r="H7" t="s">
        <v>614</v>
      </c>
      <c r="K7">
        <v>19</v>
      </c>
      <c r="L7" t="s">
        <v>194</v>
      </c>
      <c r="M7" s="2" t="s">
        <v>595</v>
      </c>
    </row>
    <row r="8" spans="1:13" x14ac:dyDescent="0.35">
      <c r="A8">
        <v>7</v>
      </c>
      <c r="B8">
        <v>4300414</v>
      </c>
      <c r="C8" t="s">
        <v>615</v>
      </c>
      <c r="D8" t="s">
        <v>22</v>
      </c>
      <c r="E8" t="s">
        <v>616</v>
      </c>
      <c r="F8">
        <v>534873933</v>
      </c>
      <c r="G8" t="s">
        <v>613</v>
      </c>
      <c r="H8" t="s">
        <v>614</v>
      </c>
      <c r="K8">
        <v>99</v>
      </c>
      <c r="M8" s="2" t="s">
        <v>595</v>
      </c>
    </row>
    <row r="9" spans="1:13" x14ac:dyDescent="0.35">
      <c r="A9">
        <v>9</v>
      </c>
      <c r="B9">
        <v>4330182</v>
      </c>
      <c r="C9" t="s">
        <v>617</v>
      </c>
      <c r="D9" t="s">
        <v>22</v>
      </c>
      <c r="E9" t="s">
        <v>618</v>
      </c>
      <c r="F9">
        <v>566403430</v>
      </c>
      <c r="G9" t="s">
        <v>593</v>
      </c>
      <c r="H9" t="s">
        <v>619</v>
      </c>
      <c r="I9" t="s">
        <v>620</v>
      </c>
      <c r="K9">
        <v>43</v>
      </c>
      <c r="M9" s="2" t="s">
        <v>595</v>
      </c>
    </row>
    <row r="10" spans="1:13" x14ac:dyDescent="0.35">
      <c r="A10">
        <v>10</v>
      </c>
      <c r="B10">
        <v>4330236</v>
      </c>
      <c r="C10" t="s">
        <v>621</v>
      </c>
      <c r="D10" t="s">
        <v>22</v>
      </c>
      <c r="E10" t="s">
        <v>622</v>
      </c>
      <c r="F10">
        <v>536141703</v>
      </c>
      <c r="G10" t="s">
        <v>613</v>
      </c>
      <c r="H10" t="s">
        <v>613</v>
      </c>
      <c r="K10">
        <v>19</v>
      </c>
      <c r="L10" t="s">
        <v>194</v>
      </c>
      <c r="M10" s="2" t="s">
        <v>595</v>
      </c>
    </row>
    <row r="11" spans="1:13" x14ac:dyDescent="0.35">
      <c r="A11">
        <v>11</v>
      </c>
      <c r="B11">
        <v>4330241</v>
      </c>
      <c r="C11" t="s">
        <v>623</v>
      </c>
      <c r="D11" t="s">
        <v>33</v>
      </c>
      <c r="E11" t="s">
        <v>624</v>
      </c>
      <c r="F11">
        <v>557163878</v>
      </c>
      <c r="G11" t="s">
        <v>625</v>
      </c>
      <c r="H11" t="s">
        <v>625</v>
      </c>
      <c r="M11" s="2" t="s">
        <v>595</v>
      </c>
    </row>
    <row r="12" spans="1:13" x14ac:dyDescent="0.35">
      <c r="A12">
        <v>12</v>
      </c>
      <c r="B12">
        <v>4330278</v>
      </c>
      <c r="C12" t="s">
        <v>626</v>
      </c>
      <c r="D12" t="s">
        <v>33</v>
      </c>
      <c r="E12" t="s">
        <v>627</v>
      </c>
      <c r="F12">
        <v>505850176</v>
      </c>
      <c r="G12" t="s">
        <v>628</v>
      </c>
      <c r="H12" t="s">
        <v>629</v>
      </c>
      <c r="M12" s="2" t="s">
        <v>595</v>
      </c>
    </row>
    <row r="13" spans="1:13" x14ac:dyDescent="0.35">
      <c r="A13">
        <v>13</v>
      </c>
      <c r="B13">
        <v>4330414</v>
      </c>
      <c r="C13" t="s">
        <v>630</v>
      </c>
      <c r="D13" t="s">
        <v>33</v>
      </c>
      <c r="E13" t="s">
        <v>631</v>
      </c>
      <c r="F13">
        <v>541402401</v>
      </c>
      <c r="G13" t="s">
        <v>632</v>
      </c>
      <c r="H13" t="s">
        <v>633</v>
      </c>
      <c r="M13" s="2" t="s">
        <v>595</v>
      </c>
    </row>
    <row r="14" spans="1:13" x14ac:dyDescent="0.35">
      <c r="A14">
        <v>14</v>
      </c>
      <c r="B14">
        <v>4330420</v>
      </c>
      <c r="C14" t="s">
        <v>634</v>
      </c>
      <c r="D14" t="s">
        <v>22</v>
      </c>
      <c r="E14" t="s">
        <v>635</v>
      </c>
      <c r="F14">
        <v>508137018</v>
      </c>
      <c r="G14" t="s">
        <v>636</v>
      </c>
      <c r="H14" t="s">
        <v>637</v>
      </c>
      <c r="K14">
        <v>124</v>
      </c>
      <c r="M14" s="2" t="s">
        <v>595</v>
      </c>
    </row>
    <row r="15" spans="1:13" x14ac:dyDescent="0.35">
      <c r="A15">
        <v>15</v>
      </c>
      <c r="B15">
        <v>4340507</v>
      </c>
      <c r="C15" t="s">
        <v>638</v>
      </c>
      <c r="D15" t="s">
        <v>22</v>
      </c>
      <c r="E15" t="s">
        <v>639</v>
      </c>
      <c r="F15">
        <v>507077744</v>
      </c>
      <c r="G15" t="s">
        <v>640</v>
      </c>
      <c r="H15" t="s">
        <v>641</v>
      </c>
      <c r="K15">
        <v>12</v>
      </c>
      <c r="M15" s="2" t="s">
        <v>595</v>
      </c>
    </row>
    <row r="16" spans="1:13" x14ac:dyDescent="0.35">
      <c r="A16">
        <v>16</v>
      </c>
      <c r="B16">
        <v>4360229</v>
      </c>
      <c r="C16" t="s">
        <v>642</v>
      </c>
      <c r="D16" t="s">
        <v>22</v>
      </c>
      <c r="E16" t="s">
        <v>643</v>
      </c>
      <c r="F16">
        <v>551538551</v>
      </c>
      <c r="G16" t="s">
        <v>644</v>
      </c>
      <c r="H16" t="s">
        <v>645</v>
      </c>
      <c r="K16">
        <v>52</v>
      </c>
      <c r="M16" s="2" t="s">
        <v>595</v>
      </c>
    </row>
    <row r="17" spans="1:13" x14ac:dyDescent="0.35">
      <c r="A17">
        <v>17</v>
      </c>
      <c r="B17">
        <v>4390139</v>
      </c>
      <c r="C17" t="s">
        <v>646</v>
      </c>
      <c r="D17" t="s">
        <v>22</v>
      </c>
      <c r="E17" t="s">
        <v>647</v>
      </c>
      <c r="F17">
        <v>531369116</v>
      </c>
      <c r="G17" t="s">
        <v>648</v>
      </c>
      <c r="H17" t="s">
        <v>649</v>
      </c>
      <c r="K17">
        <v>66</v>
      </c>
      <c r="M17" s="2" t="s">
        <v>595</v>
      </c>
    </row>
    <row r="18" spans="1:13" x14ac:dyDescent="0.35">
      <c r="A18">
        <v>18</v>
      </c>
      <c r="B18">
        <v>4400159</v>
      </c>
      <c r="C18" t="s">
        <v>650</v>
      </c>
      <c r="D18" t="s">
        <v>33</v>
      </c>
      <c r="E18" t="s">
        <v>651</v>
      </c>
      <c r="F18">
        <v>549049555</v>
      </c>
      <c r="G18" t="s">
        <v>652</v>
      </c>
      <c r="H18" t="s">
        <v>653</v>
      </c>
      <c r="M18" s="2" t="s">
        <v>595</v>
      </c>
    </row>
    <row r="19" spans="1:13" x14ac:dyDescent="0.35">
      <c r="A19">
        <v>19</v>
      </c>
      <c r="B19">
        <v>4400179</v>
      </c>
      <c r="C19" t="s">
        <v>654</v>
      </c>
      <c r="D19" t="s">
        <v>22</v>
      </c>
      <c r="E19" t="s">
        <v>655</v>
      </c>
      <c r="F19">
        <v>530243052</v>
      </c>
      <c r="G19" t="s">
        <v>656</v>
      </c>
      <c r="H19" t="s">
        <v>657</v>
      </c>
      <c r="K19">
        <v>110</v>
      </c>
      <c r="M19" s="2" t="s">
        <v>595</v>
      </c>
    </row>
    <row r="20" spans="1:13" x14ac:dyDescent="0.35">
      <c r="A20">
        <v>20</v>
      </c>
      <c r="B20">
        <v>4420030</v>
      </c>
      <c r="C20" t="s">
        <v>658</v>
      </c>
      <c r="D20" t="s">
        <v>33</v>
      </c>
      <c r="E20" t="s">
        <v>659</v>
      </c>
      <c r="F20">
        <v>501531344</v>
      </c>
      <c r="G20" t="s">
        <v>660</v>
      </c>
      <c r="H20" t="s">
        <v>661</v>
      </c>
      <c r="M20" s="2" t="s">
        <v>595</v>
      </c>
    </row>
    <row r="21" spans="1:13" x14ac:dyDescent="0.35">
      <c r="A21">
        <v>21</v>
      </c>
      <c r="B21">
        <v>4440016</v>
      </c>
      <c r="C21" t="s">
        <v>662</v>
      </c>
      <c r="D21" t="s">
        <v>22</v>
      </c>
      <c r="E21" t="s">
        <v>663</v>
      </c>
      <c r="F21">
        <v>508047371</v>
      </c>
      <c r="G21" t="s">
        <v>593</v>
      </c>
      <c r="H21" t="s">
        <v>610</v>
      </c>
      <c r="M21" s="2" t="s">
        <v>595</v>
      </c>
    </row>
    <row r="22" spans="1:13" x14ac:dyDescent="0.35">
      <c r="A22">
        <v>22</v>
      </c>
      <c r="B22">
        <v>4440023</v>
      </c>
      <c r="C22" t="s">
        <v>664</v>
      </c>
      <c r="D22" t="s">
        <v>33</v>
      </c>
      <c r="E22" t="s">
        <v>665</v>
      </c>
      <c r="F22">
        <v>506262761</v>
      </c>
      <c r="G22" t="s">
        <v>666</v>
      </c>
      <c r="H22" t="s">
        <v>667</v>
      </c>
      <c r="M22" s="2" t="s">
        <v>595</v>
      </c>
    </row>
    <row r="23" spans="1:13" x14ac:dyDescent="0.35">
      <c r="A23">
        <v>23</v>
      </c>
      <c r="B23">
        <v>4440024</v>
      </c>
      <c r="C23" t="s">
        <v>668</v>
      </c>
      <c r="D23" t="s">
        <v>33</v>
      </c>
      <c r="E23" t="s">
        <v>669</v>
      </c>
      <c r="F23">
        <v>536674996</v>
      </c>
      <c r="G23" t="s">
        <v>670</v>
      </c>
      <c r="H23" t="s">
        <v>671</v>
      </c>
      <c r="M23" s="2" t="s">
        <v>595</v>
      </c>
    </row>
    <row r="24" spans="1:13" ht="14.25" customHeight="1" x14ac:dyDescent="0.35">
      <c r="A24">
        <v>24</v>
      </c>
      <c r="B24">
        <v>4450041</v>
      </c>
      <c r="C24" t="s">
        <v>672</v>
      </c>
      <c r="D24" t="s">
        <v>33</v>
      </c>
      <c r="E24" t="s">
        <v>673</v>
      </c>
      <c r="F24">
        <v>500955058</v>
      </c>
      <c r="G24" t="s">
        <v>674</v>
      </c>
      <c r="H24" t="s">
        <v>675</v>
      </c>
      <c r="M24" s="2" t="s">
        <v>595</v>
      </c>
    </row>
    <row r="25" spans="1:13" x14ac:dyDescent="0.35">
      <c r="A25">
        <v>25</v>
      </c>
      <c r="B25">
        <v>4450044</v>
      </c>
      <c r="C25" t="s">
        <v>676</v>
      </c>
      <c r="D25" t="s">
        <v>33</v>
      </c>
      <c r="E25" t="s">
        <v>677</v>
      </c>
      <c r="F25">
        <v>536887123</v>
      </c>
      <c r="G25" t="s">
        <v>678</v>
      </c>
      <c r="H25" t="s">
        <v>679</v>
      </c>
      <c r="M25" s="2" t="s">
        <v>595</v>
      </c>
    </row>
    <row r="26" spans="1:13" x14ac:dyDescent="0.35">
      <c r="B26">
        <v>4280507</v>
      </c>
      <c r="C26" t="s">
        <v>680</v>
      </c>
      <c r="E26" t="s">
        <v>681</v>
      </c>
      <c r="F26">
        <v>503049135</v>
      </c>
      <c r="G26" t="s">
        <v>42</v>
      </c>
      <c r="H26" t="s">
        <v>682</v>
      </c>
      <c r="K26">
        <v>21</v>
      </c>
      <c r="M26" s="2" t="s">
        <v>595</v>
      </c>
    </row>
  </sheetData>
  <dataValidations count="1">
    <dataValidation type="list" allowBlank="1" showInputMessage="1" showErrorMessage="1" sqref="D2:D10 D14:D17 D19 D21" xr:uid="{4C319239-F79F-4858-80D8-D9C8BAB6BCB0}">
      <formula1>"طلاب,طالبات,لا ينطبق"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9" r:id="rId6" xr:uid="{00000000-0004-0000-0100-000005000000}"/>
    <hyperlink ref="E10" r:id="rId7" xr:uid="{00000000-0004-0000-0100-000006000000}"/>
    <hyperlink ref="E11" r:id="rId8" xr:uid="{00000000-0004-0000-0100-000007000000}"/>
    <hyperlink ref="E12" r:id="rId9" xr:uid="{00000000-0004-0000-0100-000008000000}"/>
    <hyperlink ref="E13" r:id="rId10" xr:uid="{00000000-0004-0000-0100-000009000000}"/>
    <hyperlink ref="E14" r:id="rId11" xr:uid="{00000000-0004-0000-0100-00000A000000}"/>
    <hyperlink ref="E15" r:id="rId12" xr:uid="{00000000-0004-0000-0100-00000B000000}"/>
    <hyperlink ref="E16" r:id="rId13" xr:uid="{00000000-0004-0000-0100-00000C000000}"/>
    <hyperlink ref="E18" r:id="rId14" xr:uid="{00000000-0004-0000-0100-00000D000000}"/>
    <hyperlink ref="E21" r:id="rId15" xr:uid="{00000000-0004-0000-0100-00000E000000}"/>
    <hyperlink ref="E22" r:id="rId16" xr:uid="{00000000-0004-0000-0100-00000F000000}"/>
    <hyperlink ref="E23" r:id="rId17" xr:uid="{00000000-0004-0000-0100-000010000000}"/>
  </hyperlinks>
  <pageMargins left="0.7" right="0.7" top="0.75" bottom="0.75" header="0.3" footer="0.3"/>
  <headerFooter>
    <oddHeader>&amp;Amp;Amp;Amp;Amp;C&amp;Amp;Amp;Amp;Amp;&amp;Amp;Amp;Amp;quot;Aptos&amp;Amp;Amp;Amp;quot;&amp;Amp;Amp;Amp;Amp;1 &amp;Amp;Amp;Amp;Amp;KFFFF00 مقيد | Restricted#_x000D_&amp;Amp;Amp;Amp;Amp;G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rightToLeft="1" workbookViewId="0"/>
  </sheetViews>
  <sheetFormatPr defaultRowHeight="12.75" x14ac:dyDescent="0.35"/>
  <cols>
    <col min="1" max="1" width="7.1328125" bestFit="1" customWidth="1"/>
    <col min="2" max="2" width="12.1328125" bestFit="1" customWidth="1"/>
    <col min="3" max="3" width="27.3984375" bestFit="1" customWidth="1"/>
    <col min="4" max="4" width="23.86328125" bestFit="1" customWidth="1"/>
    <col min="5" max="5" width="15.1328125" bestFit="1" customWidth="1"/>
    <col min="6" max="6" width="22" bestFit="1" customWidth="1"/>
  </cols>
  <sheetData>
    <row r="1" spans="1:6" ht="13.15" customHeight="1" x14ac:dyDescent="0.4">
      <c r="A1" s="1" t="s">
        <v>683</v>
      </c>
      <c r="B1" s="1" t="s">
        <v>684</v>
      </c>
      <c r="C1" s="1" t="s">
        <v>685</v>
      </c>
      <c r="D1" s="1" t="s">
        <v>686</v>
      </c>
      <c r="E1" s="1" t="s">
        <v>687</v>
      </c>
      <c r="F1" s="1" t="s">
        <v>16</v>
      </c>
    </row>
    <row r="2" spans="1:6" ht="12.75" customHeight="1" x14ac:dyDescent="0.35">
      <c r="A2" t="s">
        <v>688</v>
      </c>
      <c r="B2" t="s">
        <v>689</v>
      </c>
      <c r="C2" t="s">
        <v>690</v>
      </c>
      <c r="D2" t="s">
        <v>223</v>
      </c>
      <c r="E2" t="s">
        <v>691</v>
      </c>
      <c r="F2" t="s">
        <v>692</v>
      </c>
    </row>
    <row r="3" spans="1:6" ht="12.75" customHeight="1" x14ac:dyDescent="0.35">
      <c r="A3" t="s">
        <v>688</v>
      </c>
      <c r="B3" t="s">
        <v>693</v>
      </c>
      <c r="C3" t="s">
        <v>694</v>
      </c>
      <c r="D3" t="s">
        <v>90</v>
      </c>
      <c r="E3" t="s">
        <v>695</v>
      </c>
      <c r="F3" t="s">
        <v>692</v>
      </c>
    </row>
    <row r="4" spans="1:6" ht="12.75" customHeight="1" x14ac:dyDescent="0.35">
      <c r="A4" t="s">
        <v>688</v>
      </c>
      <c r="B4" t="s">
        <v>696</v>
      </c>
      <c r="C4" t="s">
        <v>697</v>
      </c>
      <c r="D4" t="s">
        <v>90</v>
      </c>
      <c r="E4" t="s">
        <v>698</v>
      </c>
      <c r="F4" t="s">
        <v>692</v>
      </c>
    </row>
    <row r="5" spans="1:6" ht="12.75" customHeight="1" x14ac:dyDescent="0.35">
      <c r="A5" t="s">
        <v>699</v>
      </c>
      <c r="B5" t="s">
        <v>700</v>
      </c>
      <c r="C5" t="s">
        <v>701</v>
      </c>
      <c r="D5" t="s">
        <v>90</v>
      </c>
      <c r="E5" t="s">
        <v>702</v>
      </c>
      <c r="F5" t="s">
        <v>692</v>
      </c>
    </row>
    <row r="6" spans="1:6" ht="12.75" customHeight="1" x14ac:dyDescent="0.35">
      <c r="A6" t="s">
        <v>699</v>
      </c>
      <c r="B6" t="s">
        <v>703</v>
      </c>
      <c r="C6" t="s">
        <v>704</v>
      </c>
      <c r="D6" t="s">
        <v>90</v>
      </c>
      <c r="E6" t="s">
        <v>705</v>
      </c>
      <c r="F6" t="s">
        <v>692</v>
      </c>
    </row>
    <row r="7" spans="1:6" ht="12.75" customHeight="1" x14ac:dyDescent="0.35">
      <c r="A7" t="s">
        <v>699</v>
      </c>
      <c r="B7" t="s">
        <v>706</v>
      </c>
      <c r="C7" t="s">
        <v>707</v>
      </c>
      <c r="D7" t="s">
        <v>90</v>
      </c>
      <c r="E7" t="s">
        <v>705</v>
      </c>
      <c r="F7" t="s">
        <v>692</v>
      </c>
    </row>
    <row r="8" spans="1:6" ht="12.75" customHeight="1" x14ac:dyDescent="0.35">
      <c r="A8" t="s">
        <v>699</v>
      </c>
      <c r="B8" t="s">
        <v>708</v>
      </c>
      <c r="C8" t="s">
        <v>709</v>
      </c>
      <c r="D8" t="s">
        <v>90</v>
      </c>
      <c r="E8" t="s">
        <v>699</v>
      </c>
      <c r="F8" t="s">
        <v>692</v>
      </c>
    </row>
    <row r="9" spans="1:6" ht="12.75" customHeight="1" x14ac:dyDescent="0.35">
      <c r="A9" t="s">
        <v>710</v>
      </c>
      <c r="B9" t="s">
        <v>711</v>
      </c>
      <c r="C9" t="s">
        <v>712</v>
      </c>
      <c r="D9" t="s">
        <v>223</v>
      </c>
      <c r="E9" t="s">
        <v>713</v>
      </c>
      <c r="F9" t="s">
        <v>692</v>
      </c>
    </row>
    <row r="10" spans="1:6" ht="12.75" customHeight="1" x14ac:dyDescent="0.35">
      <c r="A10" t="s">
        <v>710</v>
      </c>
      <c r="B10" t="s">
        <v>714</v>
      </c>
      <c r="C10" t="s">
        <v>715</v>
      </c>
      <c r="D10" t="s">
        <v>90</v>
      </c>
      <c r="E10" t="s">
        <v>713</v>
      </c>
      <c r="F10" t="s">
        <v>692</v>
      </c>
    </row>
    <row r="11" spans="1:6" ht="12.75" customHeight="1" x14ac:dyDescent="0.35">
      <c r="A11" t="s">
        <v>710</v>
      </c>
      <c r="B11" t="s">
        <v>716</v>
      </c>
      <c r="C11" t="s">
        <v>717</v>
      </c>
      <c r="D11" t="s">
        <v>90</v>
      </c>
      <c r="E11" t="s">
        <v>718</v>
      </c>
      <c r="F11" t="s">
        <v>692</v>
      </c>
    </row>
    <row r="12" spans="1:6" ht="12.75" customHeight="1" x14ac:dyDescent="0.35">
      <c r="A12" t="s">
        <v>710</v>
      </c>
      <c r="B12" t="s">
        <v>719</v>
      </c>
      <c r="C12" t="s">
        <v>720</v>
      </c>
      <c r="D12" t="s">
        <v>90</v>
      </c>
      <c r="E12" t="s">
        <v>718</v>
      </c>
      <c r="F12" t="s">
        <v>692</v>
      </c>
    </row>
    <row r="13" spans="1:6" ht="12.75" customHeight="1" x14ac:dyDescent="0.35">
      <c r="A13" t="s">
        <v>721</v>
      </c>
      <c r="B13" t="s">
        <v>722</v>
      </c>
      <c r="C13" t="s">
        <v>723</v>
      </c>
      <c r="D13" t="s">
        <v>90</v>
      </c>
      <c r="E13" t="s">
        <v>721</v>
      </c>
      <c r="F13" t="s">
        <v>692</v>
      </c>
    </row>
    <row r="14" spans="1:6" ht="12.75" customHeight="1" x14ac:dyDescent="0.35">
      <c r="A14" t="s">
        <v>721</v>
      </c>
      <c r="B14" t="s">
        <v>724</v>
      </c>
      <c r="C14" t="s">
        <v>725</v>
      </c>
      <c r="D14" t="s">
        <v>90</v>
      </c>
      <c r="E14" t="s">
        <v>726</v>
      </c>
      <c r="F14" t="s">
        <v>692</v>
      </c>
    </row>
    <row r="15" spans="1:6" ht="12.75" customHeight="1" x14ac:dyDescent="0.35">
      <c r="A15" t="s">
        <v>721</v>
      </c>
      <c r="B15" t="s">
        <v>727</v>
      </c>
      <c r="C15" t="s">
        <v>728</v>
      </c>
      <c r="D15" t="s">
        <v>90</v>
      </c>
      <c r="E15" t="s">
        <v>721</v>
      </c>
      <c r="F15" t="s">
        <v>692</v>
      </c>
    </row>
    <row r="16" spans="1:6" ht="12.75" customHeight="1" x14ac:dyDescent="0.35">
      <c r="A16" t="s">
        <v>729</v>
      </c>
      <c r="B16" t="s">
        <v>730</v>
      </c>
      <c r="C16" t="s">
        <v>731</v>
      </c>
      <c r="D16" t="s">
        <v>223</v>
      </c>
      <c r="E16" t="s">
        <v>732</v>
      </c>
      <c r="F16" t="s">
        <v>692</v>
      </c>
    </row>
    <row r="17" spans="1:6" ht="12.75" customHeight="1" x14ac:dyDescent="0.35">
      <c r="A17" t="s">
        <v>729</v>
      </c>
      <c r="B17" t="s">
        <v>733</v>
      </c>
      <c r="C17" t="s">
        <v>734</v>
      </c>
      <c r="D17" t="s">
        <v>90</v>
      </c>
      <c r="E17" t="s">
        <v>732</v>
      </c>
      <c r="F17" t="s">
        <v>692</v>
      </c>
    </row>
    <row r="18" spans="1:6" ht="12.75" customHeight="1" x14ac:dyDescent="0.35">
      <c r="A18" t="s">
        <v>729</v>
      </c>
      <c r="B18" t="s">
        <v>735</v>
      </c>
      <c r="C18" t="s">
        <v>736</v>
      </c>
      <c r="D18" t="s">
        <v>90</v>
      </c>
      <c r="E18" t="s">
        <v>737</v>
      </c>
      <c r="F18" t="s">
        <v>692</v>
      </c>
    </row>
  </sheetData>
  <autoFilter ref="A1:F18" xr:uid="{00000000-0009-0000-0000-000002000000}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37b842b-8c74-4f80-ad6f-ce4fa12d793c}" enabled="1" method="Standard" siteId="{e26bab4b-97e6-4754-b163-60f8237e853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منسوبو الكلية</vt:lpstr>
      <vt:lpstr>الإداريين</vt:lpstr>
      <vt:lpstr>المبتعثون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يوسف علي عبدالله الشهراني</dc:creator>
  <cp:keywords/>
  <dc:description/>
  <cp:lastModifiedBy>Sulaiman Alfawaz</cp:lastModifiedBy>
  <cp:revision/>
  <dcterms:created xsi:type="dcterms:W3CDTF">2026-08-03T10:45:01Z</dcterms:created>
  <dcterms:modified xsi:type="dcterms:W3CDTF">2026-08-06T18:04:31Z</dcterms:modified>
  <cp:category/>
  <cp:contentStatus/>
</cp:coreProperties>
</file>